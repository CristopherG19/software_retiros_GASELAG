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e1a43af27f9e8fc/Documentos/Programación/Proyectos/python/Renombrar_por_QR/"/>
    </mc:Choice>
  </mc:AlternateContent>
  <xr:revisionPtr revIDLastSave="2482" documentId="13_ncr:1_{153C5095-C436-4903-94A5-9A7E1863C197}" xr6:coauthVersionLast="47" xr6:coauthVersionMax="47" xr10:uidLastSave="{63A6D7D0-3BDE-48DB-9AFB-EF5BDF0A6215}"/>
  <bookViews>
    <workbookView xWindow="-120" yWindow="-120" windowWidth="29040" windowHeight="15720" xr2:uid="{00000000-000D-0000-FFFF-FFFF00000000}"/>
  </bookViews>
  <sheets>
    <sheet name="DATA" sheetId="2" r:id="rId1"/>
    <sheet name="FormBlanco" sheetId="5" r:id="rId2"/>
    <sheet name="FormImposibilidad" sheetId="3" r:id="rId3"/>
    <sheet name="FormLlenado" sheetId="4" r:id="rId4"/>
    <sheet name="FormAuditoria" sheetId="7" r:id="rId5"/>
    <sheet name="LOG_ERRORES" sheetId="8" r:id="rId6"/>
  </sheets>
  <functionGroups builtInGroupCount="19"/>
  <definedNames>
    <definedName name="_xlnm._FilterDatabase" localSheetId="0" hidden="1">DATA!#REF!</definedName>
    <definedName name="_xlnm.Print_Area" localSheetId="4">FormAuditoria!$B$2:$N$72</definedName>
    <definedName name="_xlnm.Print_Area" localSheetId="1">FormBlanco!$B$2:$N$72</definedName>
    <definedName name="_xlnm.Print_Area" localSheetId="2">FormImposibilidad!$B$2:$N$72</definedName>
    <definedName name="_xlnm.Print_Area" localSheetId="3">FormLlenado!$B$2:$N$72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7" l="1"/>
  <c r="I40" i="7"/>
  <c r="C40" i="7"/>
  <c r="I39" i="7"/>
  <c r="C39" i="7"/>
  <c r="I38" i="7"/>
  <c r="C38" i="7"/>
  <c r="I37" i="7"/>
  <c r="C37" i="7"/>
  <c r="I36" i="7"/>
  <c r="C36" i="7"/>
  <c r="E32" i="7"/>
  <c r="D30" i="7"/>
  <c r="D28" i="7"/>
  <c r="F20" i="7"/>
  <c r="F18" i="7"/>
  <c r="H11" i="7"/>
  <c r="D11" i="7"/>
  <c r="C63" i="4"/>
  <c r="C71" i="5" l="1"/>
  <c r="C70" i="5"/>
  <c r="I40" i="5"/>
  <c r="C40" i="5"/>
  <c r="I39" i="5"/>
  <c r="C39" i="5"/>
  <c r="I38" i="5"/>
  <c r="C38" i="5"/>
  <c r="I37" i="5"/>
  <c r="C37" i="5"/>
  <c r="I36" i="5"/>
  <c r="C36" i="5"/>
  <c r="E32" i="5"/>
  <c r="D30" i="5"/>
  <c r="D28" i="5"/>
  <c r="K20" i="5"/>
  <c r="F20" i="5"/>
  <c r="F18" i="5"/>
  <c r="H11" i="5"/>
  <c r="D11" i="5"/>
  <c r="K8" i="5"/>
  <c r="N72" i="5" s="1"/>
  <c r="C41" i="4" l="1"/>
  <c r="C71" i="4"/>
  <c r="C70" i="4"/>
  <c r="I40" i="4"/>
  <c r="C40" i="4"/>
  <c r="I39" i="4"/>
  <c r="C39" i="4"/>
  <c r="I38" i="4"/>
  <c r="C38" i="4"/>
  <c r="I37" i="4"/>
  <c r="C37" i="4"/>
  <c r="I36" i="4"/>
  <c r="C36" i="4"/>
  <c r="E32" i="4"/>
  <c r="D30" i="4"/>
  <c r="D28" i="4"/>
  <c r="K20" i="4"/>
  <c r="F20" i="4"/>
  <c r="F18" i="4"/>
  <c r="H11" i="4"/>
  <c r="D11" i="4"/>
  <c r="K8" i="4"/>
  <c r="N72" i="4" s="1"/>
  <c r="C57" i="3" l="1"/>
  <c r="C71" i="3" l="1"/>
  <c r="C70" i="3"/>
  <c r="I40" i="3"/>
  <c r="C40" i="3"/>
  <c r="I39" i="3"/>
  <c r="C39" i="3"/>
  <c r="I38" i="3"/>
  <c r="C38" i="3"/>
  <c r="I37" i="3"/>
  <c r="C37" i="3"/>
  <c r="I36" i="3"/>
  <c r="C36" i="3"/>
  <c r="E32" i="3"/>
  <c r="D30" i="3"/>
  <c r="D28" i="3"/>
  <c r="K20" i="3"/>
  <c r="F20" i="3"/>
  <c r="F18" i="3"/>
  <c r="H11" i="3"/>
  <c r="D11" i="3"/>
  <c r="K8" i="3"/>
  <c r="N72" i="3" s="1"/>
</calcChain>
</file>

<file path=xl/sharedStrings.xml><?xml version="1.0" encoding="utf-8"?>
<sst xmlns="http://schemas.openxmlformats.org/spreadsheetml/2006/main" count="511" uniqueCount="157">
  <si>
    <t>Formato</t>
  </si>
  <si>
    <t>Código:</t>
  </si>
  <si>
    <t>F01-AT-IT-05</t>
  </si>
  <si>
    <t>FORMULARIO 1A - ACTA DEL RETIRO DEL MEDIDOR DE AGUA POTABLE</t>
  </si>
  <si>
    <t>Versión:</t>
  </si>
  <si>
    <t>01</t>
  </si>
  <si>
    <t>Fecha:</t>
  </si>
  <si>
    <t>2019-02-23</t>
  </si>
  <si>
    <t>Página:</t>
  </si>
  <si>
    <t>1 de 1</t>
  </si>
  <si>
    <t>N° DE OC:</t>
  </si>
  <si>
    <r>
      <t xml:space="preserve">Metrológica "GASELAG Laboratorios y Certificaciones SAC" 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ha procedido a retirar el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medidor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de la conexión </t>
    </r>
  </si>
  <si>
    <t>domiciliaria, a solicitud de:</t>
  </si>
  <si>
    <t>Empresa prestadora:</t>
  </si>
  <si>
    <t>EPS SEDAPAL</t>
  </si>
  <si>
    <t>Localidad o Centro de servicio:</t>
  </si>
  <si>
    <t>Motivo del retiro del medidor:</t>
  </si>
  <si>
    <t>X</t>
  </si>
  <si>
    <t xml:space="preserve">  Verificación en laboratorio</t>
  </si>
  <si>
    <t xml:space="preserve">  Medidor sobreregistra en verificación en campo</t>
  </si>
  <si>
    <t>Informe del titular de la conexión domiciliaria o usuario:</t>
  </si>
  <si>
    <t>Nombre:</t>
  </si>
  <si>
    <t>Dirección:</t>
  </si>
  <si>
    <t>N° de suministro:</t>
  </si>
  <si>
    <t>Información del medidor:</t>
  </si>
  <si>
    <r>
      <t>Estado del registro: el medidor registra, antes de la verificación, un volumen de ________________m</t>
    </r>
    <r>
      <rPr>
        <vertAlign val="superscript"/>
        <sz val="11"/>
        <color theme="1"/>
        <rFont val="Calibri"/>
        <family val="2"/>
        <scheme val="minor"/>
      </rPr>
      <t>3</t>
    </r>
  </si>
  <si>
    <t>Reporte visual del medidor:</t>
  </si>
  <si>
    <t>Puntero del medidor girando:</t>
  </si>
  <si>
    <t>Sí</t>
  </si>
  <si>
    <t>No</t>
  </si>
  <si>
    <t>Medidor con precinto de seguridad:</t>
  </si>
  <si>
    <t>Visor con imposibilidad de lectura:</t>
  </si>
  <si>
    <t>Reporte visual del filtro de medidor:</t>
  </si>
  <si>
    <t>El medidor tiene filtro:</t>
  </si>
  <si>
    <t>El filtro está en buen estado de conservación:</t>
  </si>
  <si>
    <t>Existen sólidos retenidos en el filtro:</t>
  </si>
  <si>
    <t>Información de la caja y del medidor de agua (señalar el estado actual de la caja del medidor)</t>
  </si>
  <si>
    <t>Observaciones:</t>
  </si>
  <si>
    <t>N° de precinto de seguridad:</t>
  </si>
  <si>
    <t>Firma de la UVM</t>
  </si>
  <si>
    <t>Firma de la Empresa Prestadora</t>
  </si>
  <si>
    <t>Firma del titular o usuario</t>
  </si>
  <si>
    <t>DNI:</t>
  </si>
  <si>
    <t>PEGAR</t>
  </si>
  <si>
    <t xml:space="preserve"> la Unidad de Verificación"</t>
  </si>
  <si>
    <t>Orden de servicio</t>
  </si>
  <si>
    <t>Fecha OS</t>
  </si>
  <si>
    <t>Cantidad de medidores (unid)</t>
  </si>
  <si>
    <t>Tipo de Servicio</t>
  </si>
  <si>
    <t>Programación Dia Retiro</t>
  </si>
  <si>
    <t>Programación Hora Retiro</t>
  </si>
  <si>
    <t>Programación dia VP</t>
  </si>
  <si>
    <t>Programación Hora VP</t>
  </si>
  <si>
    <t>Tecnico de Campo</t>
  </si>
  <si>
    <t>Cliente</t>
  </si>
  <si>
    <t>Centro de Servicio</t>
  </si>
  <si>
    <t>Remesa</t>
  </si>
  <si>
    <t>Usuario - Reclamante</t>
  </si>
  <si>
    <t xml:space="preserve">Direccion </t>
  </si>
  <si>
    <t>CUS</t>
  </si>
  <si>
    <t xml:space="preserve">N° de Suministro </t>
  </si>
  <si>
    <t>N° de Serie del Medidor</t>
  </si>
  <si>
    <t xml:space="preserve">Marca del medidor de agua </t>
  </si>
  <si>
    <t xml:space="preserve">Modelo del medidor de agua </t>
  </si>
  <si>
    <t>Año de Fabricacion</t>
  </si>
  <si>
    <t>Fabricante</t>
  </si>
  <si>
    <t>Procedencia</t>
  </si>
  <si>
    <t>Tipo Medidor</t>
  </si>
  <si>
    <t>Diámetro Nominal (mm)</t>
  </si>
  <si>
    <t>Q3 (m3/h)</t>
  </si>
  <si>
    <t>Alcance</t>
  </si>
  <si>
    <t>PMA (bar)</t>
  </si>
  <si>
    <t>TMA (°C)</t>
  </si>
  <si>
    <t>Clase de sencibilidad del Perfil de Flujo</t>
  </si>
  <si>
    <t>Certificado de Aprobación de Modelo / Homologación</t>
  </si>
  <si>
    <t xml:space="preserve">Siendo las </t>
  </si>
  <si>
    <t>horas del día</t>
  </si>
  <si>
    <t>Colocar Nombre</t>
  </si>
  <si>
    <t>Para el traslado se colocó una bolsa cerrada con precinto de seguridad:</t>
  </si>
  <si>
    <r>
      <t xml:space="preserve">Sí        </t>
    </r>
    <r>
      <rPr>
        <b/>
        <sz val="11"/>
        <color theme="1"/>
        <rFont val="Calibri"/>
        <family val="2"/>
        <scheme val="minor"/>
      </rPr>
      <t>X</t>
    </r>
  </si>
  <si>
    <t>CUP</t>
  </si>
  <si>
    <t>-</t>
  </si>
  <si>
    <t>U0/D0</t>
  </si>
  <si>
    <t>NO MANIPULADO</t>
  </si>
  <si>
    <t>facturado mayo</t>
  </si>
  <si>
    <t xml:space="preserve">Sí      </t>
  </si>
  <si>
    <t xml:space="preserve">No     </t>
  </si>
  <si>
    <t xml:space="preserve">Sí        </t>
  </si>
  <si>
    <t>Nombre: JEAN FRANCO ARMAS C.</t>
  </si>
  <si>
    <t>DNI: 71337975</t>
  </si>
  <si>
    <t>MÚLTIPLE</t>
  </si>
  <si>
    <t>FACTURADO DICIEMBRE 2023</t>
  </si>
  <si>
    <t>Reclamo</t>
  </si>
  <si>
    <t>ENTREGA EPS</t>
  </si>
  <si>
    <t>SUBREGISTRA</t>
  </si>
  <si>
    <t>OPERATIVO</t>
  </si>
  <si>
    <t>REINSTALAR</t>
  </si>
  <si>
    <t>S220</t>
  </si>
  <si>
    <t>ESPAÑA</t>
  </si>
  <si>
    <t>UNICO</t>
  </si>
  <si>
    <t>R160</t>
  </si>
  <si>
    <t>Equipo Comercial Ate</t>
  </si>
  <si>
    <t>HONEYWELL</t>
  </si>
  <si>
    <t>DM/LFL-001-2020</t>
  </si>
  <si>
    <t>Jr Mariscal de Santa Cruz N° 122 – Urb el Pino – San Luis - Lima / comercial@gaselag.com / +51 967 619 698</t>
  </si>
  <si>
    <t xml:space="preserve">GINO GHIGGO </t>
  </si>
  <si>
    <t>LOS SAUCES 271 SAN BORJA LIMA</t>
  </si>
  <si>
    <t>DH</t>
  </si>
  <si>
    <t>CHINA</t>
  </si>
  <si>
    <t>NINGBO DONGHAI GROUP CORPORATION, INC.</t>
  </si>
  <si>
    <t>Clase B</t>
  </si>
  <si>
    <t>NO INDICA</t>
  </si>
  <si>
    <t>OC-00040</t>
  </si>
  <si>
    <t>LXSG-20E/5</t>
  </si>
  <si>
    <t>VP-00040-2025-AMP</t>
  </si>
  <si>
    <t>OC-54047</t>
  </si>
  <si>
    <t>Remesa 1052</t>
  </si>
  <si>
    <t>AMPARO SOLEDAD CUEVA ZAVELETA</t>
  </si>
  <si>
    <t>CA 11/0/10/08/10-08     /ASOC CIENEGUILLA 3RA ETAPA/CIENEGUILLA</t>
  </si>
  <si>
    <t>PB24016316</t>
  </si>
  <si>
    <t>VP-54047-2025</t>
  </si>
  <si>
    <t>REINSTALAR EPS</t>
  </si>
  <si>
    <t>Oficio</t>
  </si>
  <si>
    <t xml:space="preserve"> la Unidad de Verificación</t>
  </si>
  <si>
    <t>OC-74037</t>
  </si>
  <si>
    <t>J6G74MBWWZ</t>
  </si>
  <si>
    <t>Remesa 1072</t>
  </si>
  <si>
    <t>JUAN GUILLERMO ALLPACCA CORDERO</t>
  </si>
  <si>
    <t>PS 4/0/F/21/F-21      /URB CUADRO, EL/CHACLACAYO</t>
  </si>
  <si>
    <t>A112558348</t>
  </si>
  <si>
    <t>ITRON</t>
  </si>
  <si>
    <t>UNIMAG TU III</t>
  </si>
  <si>
    <t>PERU</t>
  </si>
  <si>
    <t>SNM-001-2002</t>
  </si>
  <si>
    <t>DESMONTADO NO PRESENTA MANIPULACION</t>
  </si>
  <si>
    <t>FACTURADO FEBRERO 2025</t>
  </si>
  <si>
    <t>BRASIL</t>
  </si>
  <si>
    <t>R125</t>
  </si>
  <si>
    <t>Fecha/Hora</t>
  </si>
  <si>
    <t>Tipo de Error</t>
  </si>
  <si>
    <t>Detalle</t>
  </si>
  <si>
    <t>Descripción</t>
  </si>
  <si>
    <t>ELSTER</t>
  </si>
  <si>
    <t>DM/LFL-002-2020</t>
  </si>
  <si>
    <t>M 170</t>
  </si>
  <si>
    <t>OC-77950</t>
  </si>
  <si>
    <t>AXY3WYW7O8</t>
  </si>
  <si>
    <t>Equipo Comercial Breña</t>
  </si>
  <si>
    <t>Remesa 491</t>
  </si>
  <si>
    <t>JR MONTERO ROSAS/929///INT 2/URB SANTA BEATRIZ/LIMA (CERCADO)</t>
  </si>
  <si>
    <t>EA20191075</t>
  </si>
  <si>
    <t>VP-77950-2025</t>
  </si>
  <si>
    <t>OC-77951</t>
  </si>
  <si>
    <t>R9XK5X6KMB</t>
  </si>
  <si>
    <t>JR CUSCO/484///A/CERCADO/LIMA (CERCADO)</t>
  </si>
  <si>
    <t>EA20192915</t>
  </si>
  <si>
    <t>VP-77951-2025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</si>
</sst>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;@"/>
    <numFmt numFmtId="165" formatCode="0.0"/>
    <numFmt numFmtId="166" formatCode="00000"/>
    <numFmt numFmtId="167" formatCode="dd/mm/yyyy;@"/>
    <numFmt numFmtId="168" formatCode="00.00"/>
    <numFmt numFmtId="169" formatCode="00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2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</font>
    <font>
      <sz val="22"/>
      <color theme="1"/>
      <name val="Calibri"/>
      <family val="2"/>
      <scheme val="minor"/>
    </font>
    <font>
      <sz val="14"/>
      <color theme="1"/>
      <name val="Grotesque"/>
      <family val="2"/>
    </font>
    <font>
      <sz val="18"/>
      <color theme="1"/>
      <name val="Grotesque"/>
      <family val="2"/>
    </font>
    <font>
      <i/>
      <sz val="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C8C8C8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5" fillId="0" borderId="0"/>
  </cellStyleXfs>
  <cellXfs count="136">
    <xf numFmtId="0" fontId="0" fillId="0" borderId="0" xfId="0"/>
    <xf numFmtId="0" fontId="2" fillId="2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12" xfId="0" applyFill="1" applyBorder="1" applyAlignment="1">
      <alignment vertical="top"/>
    </xf>
    <xf numFmtId="0" fontId="0" fillId="2" borderId="12" xfId="0" applyFill="1" applyBorder="1"/>
    <xf numFmtId="0" fontId="0" fillId="2" borderId="6" xfId="0" applyFill="1" applyBorder="1"/>
    <xf numFmtId="0" fontId="0" fillId="2" borderId="1" xfId="0" applyFill="1" applyBorder="1" applyAlignment="1">
      <alignment vertical="center"/>
    </xf>
    <xf numFmtId="0" fontId="0" fillId="2" borderId="3" xfId="0" applyFill="1" applyBorder="1"/>
    <xf numFmtId="0" fontId="0" fillId="2" borderId="2" xfId="0" applyFill="1" applyBorder="1"/>
    <xf numFmtId="0" fontId="0" fillId="2" borderId="9" xfId="0" applyFill="1" applyBorder="1" applyAlignment="1">
      <alignment vertical="center"/>
    </xf>
    <xf numFmtId="0" fontId="0" fillId="2" borderId="11" xfId="0" applyFill="1" applyBorder="1"/>
    <xf numFmtId="0" fontId="0" fillId="2" borderId="10" xfId="0" applyFill="1" applyBorder="1"/>
    <xf numFmtId="0" fontId="0" fillId="2" borderId="12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0" xfId="0" applyFill="1"/>
    <xf numFmtId="0" fontId="5" fillId="0" borderId="12" xfId="0" applyFont="1" applyBorder="1" applyAlignment="1">
      <alignment horizontal="lef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9" fillId="3" borderId="1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vertical="top"/>
    </xf>
    <xf numFmtId="0" fontId="0" fillId="0" borderId="0" xfId="0" quotePrefix="1"/>
    <xf numFmtId="0" fontId="12" fillId="2" borderId="0" xfId="0" applyFont="1" applyFill="1"/>
    <xf numFmtId="0" fontId="0" fillId="2" borderId="12" xfId="0" applyFill="1" applyBorder="1" applyAlignment="1">
      <alignment horizontal="right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7" xfId="0" applyBorder="1"/>
    <xf numFmtId="0" fontId="7" fillId="2" borderId="8" xfId="0" applyFont="1" applyFill="1" applyBorder="1"/>
    <xf numFmtId="0" fontId="8" fillId="2" borderId="11" xfId="0" applyFont="1" applyFill="1" applyBorder="1"/>
    <xf numFmtId="0" fontId="13" fillId="0" borderId="10" xfId="0" applyFont="1" applyBorder="1" applyAlignment="1">
      <alignment horizontal="center"/>
    </xf>
    <xf numFmtId="0" fontId="0" fillId="4" borderId="14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2" fontId="0" fillId="4" borderId="14" xfId="0" applyNumberFormat="1" applyFill="1" applyBorder="1" applyAlignment="1">
      <alignment horizontal="center"/>
    </xf>
    <xf numFmtId="14" fontId="0" fillId="0" borderId="0" xfId="0" applyNumberFormat="1"/>
    <xf numFmtId="167" fontId="0" fillId="4" borderId="14" xfId="0" applyNumberFormat="1" applyFill="1" applyBorder="1" applyAlignment="1">
      <alignment horizontal="center" vertical="center"/>
    </xf>
    <xf numFmtId="168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14" fontId="0" fillId="4" borderId="14" xfId="0" applyNumberFormat="1" applyFill="1" applyBorder="1" applyAlignment="1">
      <alignment horizontal="center"/>
    </xf>
    <xf numFmtId="167" fontId="0" fillId="0" borderId="14" xfId="0" applyNumberFormat="1" applyBorder="1" applyAlignment="1">
      <alignment horizontal="center" vertical="center"/>
    </xf>
    <xf numFmtId="168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/>
    <xf numFmtId="0" fontId="17" fillId="2" borderId="0" xfId="0" applyFont="1" applyFill="1" applyAlignment="1">
      <alignment vertical="center"/>
    </xf>
    <xf numFmtId="166" fontId="10" fillId="4" borderId="16" xfId="0" quotePrefix="1" applyNumberFormat="1" applyFont="1" applyFill="1" applyBorder="1" applyAlignment="1">
      <alignment horizontal="center" vertical="center"/>
    </xf>
    <xf numFmtId="1" fontId="0" fillId="4" borderId="14" xfId="0" applyNumberForma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right"/>
    </xf>
    <xf numFmtId="169" fontId="0" fillId="4" borderId="16" xfId="0" quotePrefix="1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14" fontId="0" fillId="5" borderId="14" xfId="0" applyNumberFormat="1" applyFill="1" applyBorder="1" applyAlignment="1">
      <alignment horizontal="center" vertical="center"/>
    </xf>
    <xf numFmtId="2" fontId="0" fillId="5" borderId="14" xfId="0" applyNumberFormat="1" applyFill="1" applyBorder="1" applyAlignment="1">
      <alignment horizontal="center" vertical="center"/>
    </xf>
    <xf numFmtId="1" fontId="0" fillId="4" borderId="14" xfId="0" applyNumberFormat="1" applyFill="1" applyBorder="1" applyAlignment="1">
      <alignment horizontal="center"/>
    </xf>
    <xf numFmtId="166" fontId="10" fillId="0" borderId="16" xfId="0" quotePrefix="1" applyNumberFormat="1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1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4" xfId="0" applyNumberForma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20" fillId="0" borderId="0" xfId="0" applyFont="1"/>
    <xf numFmtId="0" fontId="21" fillId="2" borderId="0" xfId="0" applyFont="1" applyFill="1"/>
    <xf numFmtId="0" fontId="1" fillId="6" borderId="0" xfId="0" applyFont="1" applyFill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2" fillId="2" borderId="5" xfId="0" quotePrefix="1" applyFont="1" applyFill="1" applyBorder="1" applyAlignment="1">
      <alignment horizontal="center"/>
    </xf>
    <xf numFmtId="0" fontId="0" fillId="2" borderId="5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14" fillId="2" borderId="0" xfId="0" quotePrefix="1" applyFont="1" applyFill="1" applyAlignment="1">
      <alignment horizontal="left" vertical="center" wrapText="1"/>
    </xf>
    <xf numFmtId="0" fontId="14" fillId="2" borderId="0" xfId="0" applyFont="1" applyFill="1" applyAlignment="1">
      <alignment horizontal="left" vertical="center" wrapText="1"/>
    </xf>
    <xf numFmtId="2" fontId="1" fillId="2" borderId="11" xfId="0" applyNumberFormat="1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4" fontId="1" fillId="0" borderId="11" xfId="0" applyNumberFormat="1" applyFont="1" applyBorder="1" applyAlignment="1">
      <alignment horizontal="center"/>
    </xf>
    <xf numFmtId="0" fontId="0" fillId="2" borderId="6" xfId="0" applyFill="1" applyBorder="1" applyAlignment="1">
      <alignment horizontal="left" vertical="center"/>
    </xf>
    <xf numFmtId="0" fontId="16" fillId="2" borderId="1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6" fillId="2" borderId="2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16" fillId="2" borderId="8" xfId="0" applyFont="1" applyFill="1" applyBorder="1" applyAlignment="1">
      <alignment horizontal="center"/>
    </xf>
    <xf numFmtId="0" fontId="16" fillId="2" borderId="9" xfId="0" applyFont="1" applyFill="1" applyBorder="1" applyAlignment="1">
      <alignment horizontal="center"/>
    </xf>
    <xf numFmtId="0" fontId="16" fillId="2" borderId="11" xfId="0" applyFont="1" applyFill="1" applyBorder="1" applyAlignment="1">
      <alignment horizontal="center"/>
    </xf>
    <xf numFmtId="0" fontId="16" fillId="2" borderId="10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66" fontId="18" fillId="2" borderId="7" xfId="0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4" fillId="2" borderId="0" xfId="0" quotePrefix="1" applyFont="1" applyFill="1" applyAlignment="1">
      <alignment horizontal="center" vertical="center" wrapText="1"/>
    </xf>
    <xf numFmtId="0" fontId="3" fillId="2" borderId="0" xfId="0" quotePrefix="1" applyFont="1" applyFill="1" applyAlignment="1">
      <alignment horizontal="left" vertical="center" wrapText="1"/>
    </xf>
  </cellXfs>
  <cellStyles count="2">
    <cellStyle name="Normal" xfId="0" builtinId="0"/>
    <cellStyle name="Normal 5" xfId="1" xr:uid="{815EC515-4FF9-41C9-A5F4-1281D0EB89B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.pn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microsoft.com/office/2007/relationships/hdphoto" Target="../media/hdphoto2.wdp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227134</xdr:colOff>
      <xdr:row>45</xdr:row>
      <xdr:rowOff>65942</xdr:rowOff>
    </xdr:from>
    <xdr:to>
      <xdr:col>8</xdr:col>
      <xdr:colOff>440865</xdr:colOff>
      <xdr:row>45</xdr:row>
      <xdr:rowOff>186747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444D68A-913A-4A3B-8813-8EABE7DB257D}"/>
            </a:ext>
          </a:extLst>
        </xdr:cNvPr>
        <xdr:cNvSpPr/>
      </xdr:nvSpPr>
      <xdr:spPr>
        <a:xfrm>
          <a:off x="4789609" y="76859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46</xdr:row>
      <xdr:rowOff>54118</xdr:rowOff>
    </xdr:from>
    <xdr:to>
      <xdr:col>8</xdr:col>
      <xdr:colOff>442179</xdr:colOff>
      <xdr:row>46</xdr:row>
      <xdr:rowOff>174923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577595EB-D0A6-44ED-91F1-416B6130BD73}"/>
            </a:ext>
          </a:extLst>
        </xdr:cNvPr>
        <xdr:cNvSpPr/>
      </xdr:nvSpPr>
      <xdr:spPr>
        <a:xfrm>
          <a:off x="4790923" y="79122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47</xdr:row>
      <xdr:rowOff>55432</xdr:rowOff>
    </xdr:from>
    <xdr:to>
      <xdr:col>8</xdr:col>
      <xdr:colOff>443493</xdr:colOff>
      <xdr:row>47</xdr:row>
      <xdr:rowOff>176237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6B332F5-F2A4-4DBA-AFA1-42789813EC49}"/>
            </a:ext>
          </a:extLst>
        </xdr:cNvPr>
        <xdr:cNvSpPr/>
      </xdr:nvSpPr>
      <xdr:spPr>
        <a:xfrm>
          <a:off x="4792237" y="81516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227134</xdr:colOff>
      <xdr:row>51</xdr:row>
      <xdr:rowOff>65942</xdr:rowOff>
    </xdr:from>
    <xdr:to>
      <xdr:col>8</xdr:col>
      <xdr:colOff>440865</xdr:colOff>
      <xdr:row>51</xdr:row>
      <xdr:rowOff>186747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9EB43FCF-448C-4953-8A59-479C680725F3}"/>
            </a:ext>
          </a:extLst>
        </xdr:cNvPr>
        <xdr:cNvSpPr/>
      </xdr:nvSpPr>
      <xdr:spPr>
        <a:xfrm>
          <a:off x="4789609" y="87908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52</xdr:row>
      <xdr:rowOff>54118</xdr:rowOff>
    </xdr:from>
    <xdr:to>
      <xdr:col>8</xdr:col>
      <xdr:colOff>442179</xdr:colOff>
      <xdr:row>52</xdr:row>
      <xdr:rowOff>174923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6E6609D-5F85-414A-9234-A4E00C9BE3A5}"/>
            </a:ext>
          </a:extLst>
        </xdr:cNvPr>
        <xdr:cNvSpPr/>
      </xdr:nvSpPr>
      <xdr:spPr>
        <a:xfrm>
          <a:off x="4790923" y="899809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53</xdr:row>
      <xdr:rowOff>55432</xdr:rowOff>
    </xdr:from>
    <xdr:to>
      <xdr:col>8</xdr:col>
      <xdr:colOff>443493</xdr:colOff>
      <xdr:row>53</xdr:row>
      <xdr:rowOff>176237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4FC87B1-AA7D-453C-890C-C6DACBD8D95D}"/>
            </a:ext>
          </a:extLst>
        </xdr:cNvPr>
        <xdr:cNvSpPr/>
      </xdr:nvSpPr>
      <xdr:spPr>
        <a:xfrm>
          <a:off x="4792237" y="92184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45</xdr:row>
      <xdr:rowOff>65943</xdr:rowOff>
    </xdr:from>
    <xdr:to>
      <xdr:col>10</xdr:col>
      <xdr:colOff>474356</xdr:colOff>
      <xdr:row>45</xdr:row>
      <xdr:rowOff>186748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88EF5D8A-2D2F-40C7-B444-50DFE8D5A111}"/>
            </a:ext>
          </a:extLst>
        </xdr:cNvPr>
        <xdr:cNvSpPr/>
      </xdr:nvSpPr>
      <xdr:spPr>
        <a:xfrm>
          <a:off x="6042300" y="76859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46</xdr:row>
      <xdr:rowOff>59069</xdr:rowOff>
    </xdr:from>
    <xdr:to>
      <xdr:col>10</xdr:col>
      <xdr:colOff>475429</xdr:colOff>
      <xdr:row>46</xdr:row>
      <xdr:rowOff>179874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343BFAE-196F-4941-88DE-AA15D3957C54}"/>
            </a:ext>
          </a:extLst>
        </xdr:cNvPr>
        <xdr:cNvSpPr/>
      </xdr:nvSpPr>
      <xdr:spPr>
        <a:xfrm>
          <a:off x="6043373" y="791719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47</xdr:row>
      <xdr:rowOff>53814</xdr:rowOff>
    </xdr:from>
    <xdr:to>
      <xdr:col>10</xdr:col>
      <xdr:colOff>470174</xdr:colOff>
      <xdr:row>47</xdr:row>
      <xdr:rowOff>174619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D0C4C9DA-8891-4426-9854-95B58139216F}"/>
            </a:ext>
          </a:extLst>
        </xdr:cNvPr>
        <xdr:cNvSpPr/>
      </xdr:nvSpPr>
      <xdr:spPr>
        <a:xfrm>
          <a:off x="6038118" y="81500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51</xdr:row>
      <xdr:rowOff>45891</xdr:rowOff>
    </xdr:from>
    <xdr:to>
      <xdr:col>10</xdr:col>
      <xdr:colOff>474356</xdr:colOff>
      <xdr:row>51</xdr:row>
      <xdr:rowOff>166696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D904C3C5-0EFC-4ECD-9276-D8AD71156146}"/>
            </a:ext>
          </a:extLst>
        </xdr:cNvPr>
        <xdr:cNvSpPr/>
      </xdr:nvSpPr>
      <xdr:spPr>
        <a:xfrm>
          <a:off x="6042300" y="8770791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52</xdr:row>
      <xdr:rowOff>44030</xdr:rowOff>
    </xdr:from>
    <xdr:to>
      <xdr:col>10</xdr:col>
      <xdr:colOff>475429</xdr:colOff>
      <xdr:row>52</xdr:row>
      <xdr:rowOff>164835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A6C88B46-BC29-4A92-B532-51BAF3F6E7A8}"/>
            </a:ext>
          </a:extLst>
        </xdr:cNvPr>
        <xdr:cNvSpPr/>
      </xdr:nvSpPr>
      <xdr:spPr>
        <a:xfrm>
          <a:off x="6043373" y="8988005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53</xdr:row>
      <xdr:rowOff>53814</xdr:rowOff>
    </xdr:from>
    <xdr:to>
      <xdr:col>10</xdr:col>
      <xdr:colOff>470174</xdr:colOff>
      <xdr:row>53</xdr:row>
      <xdr:rowOff>174619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BBCFDA63-7AEC-4937-A304-6C0C59D94890}"/>
            </a:ext>
          </a:extLst>
        </xdr:cNvPr>
        <xdr:cNvSpPr/>
      </xdr:nvSpPr>
      <xdr:spPr>
        <a:xfrm>
          <a:off x="6038118" y="92168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438978</xdr:colOff>
      <xdr:row>41</xdr:row>
      <xdr:rowOff>41414</xdr:rowOff>
    </xdr:from>
    <xdr:to>
      <xdr:col>10</xdr:col>
      <xdr:colOff>66261</xdr:colOff>
      <xdr:row>41</xdr:row>
      <xdr:rowOff>198783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7792BAD2-14AD-4F9E-BA10-1E2AF9C69AB7}"/>
            </a:ext>
          </a:extLst>
        </xdr:cNvPr>
        <xdr:cNvSpPr/>
      </xdr:nvSpPr>
      <xdr:spPr>
        <a:xfrm>
          <a:off x="5611053" y="7023239"/>
          <a:ext cx="236883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74543</xdr:colOff>
      <xdr:row>41</xdr:row>
      <xdr:rowOff>41414</xdr:rowOff>
    </xdr:from>
    <xdr:to>
      <xdr:col>11</xdr:col>
      <xdr:colOff>314739</xdr:colOff>
      <xdr:row>41</xdr:row>
      <xdr:rowOff>198783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2CF838FC-E2F8-4068-B699-4B606991C794}"/>
            </a:ext>
          </a:extLst>
        </xdr:cNvPr>
        <xdr:cNvSpPr/>
      </xdr:nvSpPr>
      <xdr:spPr>
        <a:xfrm>
          <a:off x="6570593" y="7023239"/>
          <a:ext cx="240196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0</xdr:colOff>
      <xdr:row>2</xdr:row>
      <xdr:rowOff>0</xdr:rowOff>
    </xdr:from>
    <xdr:to>
      <xdr:col>4</xdr:col>
      <xdr:colOff>759561</xdr:colOff>
      <xdr:row>5</xdr:row>
      <xdr:rowOff>188199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4792969-3857-4894-9CFB-BAD09A67C3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84" t="39855" r="22219" b="39789"/>
        <a:stretch>
          <a:fillRect/>
        </a:stretch>
      </xdr:blipFill>
      <xdr:spPr>
        <a:xfrm>
          <a:off x="753717" y="389283"/>
          <a:ext cx="2059931" cy="759699"/>
        </a:xfrm>
        <a:prstGeom prst="rect">
          <a:avLst/>
        </a:prstGeom>
      </xdr:spPr>
    </xdr:pic>
    <xdr:clientData/>
  </xdr:twoCellAnchor>
  <xdr:twoCellAnchor editAs="oneCell">
    <xdr:from>
      <xdr:col>11</xdr:col>
      <xdr:colOff>587829</xdr:colOff>
      <xdr:row>7</xdr:row>
      <xdr:rowOff>0</xdr:rowOff>
    </xdr:from>
    <xdr:to>
      <xdr:col>12</xdr:col>
      <xdr:colOff>737507</xdr:colOff>
      <xdr:row>12</xdr:row>
      <xdr:rowOff>176893</xdr:rowOff>
    </xdr:to>
    <xdr:pic>
      <xdr:nvPicPr>
        <xdr:cNvPr id="60" name="CODIGO_QR_ACTUAL">
          <a:extLst>
            <a:ext uri="{FF2B5EF4-FFF2-40B4-BE49-F238E27FC236}">
              <a16:creationId xmlns:a16="http://schemas.microsoft.com/office/drawing/2014/main" id="{251FE31E-A109-8676-8C3A-330A9FC4A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1238250"/>
          <a:ext cx="762000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361293</xdr:colOff>
      <xdr:row>38</xdr:row>
      <xdr:rowOff>91966</xdr:rowOff>
    </xdr:from>
    <xdr:to>
      <xdr:col>11</xdr:col>
      <xdr:colOff>518948</xdr:colOff>
      <xdr:row>59</xdr:row>
      <xdr:rowOff>45326</xdr:rowOff>
    </xdr:to>
    <xdr:pic>
      <xdr:nvPicPr>
        <xdr:cNvPr id="35" name="Imagen 34" descr="Imagen en blanco y negro&#10;&#10;Descripción generada automáticamente con confianza media">
          <a:extLst>
            <a:ext uri="{FF2B5EF4-FFF2-40B4-BE49-F238E27FC236}">
              <a16:creationId xmlns:a16="http://schemas.microsoft.com/office/drawing/2014/main" id="{BB8AD27F-9145-4ECE-7444-458D062AB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tx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155" y="6339052"/>
          <a:ext cx="5905500" cy="3829050"/>
        </a:xfrm>
        <a:prstGeom prst="rect">
          <a:avLst/>
        </a:prstGeom>
      </xdr:spPr>
    </xdr:pic>
    <xdr:clientData/>
  </xdr:twoCellAnchor>
  <xdr:twoCellAnchor>
    <xdr:from>
      <xdr:col>8</xdr:col>
      <xdr:colOff>227134</xdr:colOff>
      <xdr:row>45</xdr:row>
      <xdr:rowOff>65942</xdr:rowOff>
    </xdr:from>
    <xdr:to>
      <xdr:col>8</xdr:col>
      <xdr:colOff>440865</xdr:colOff>
      <xdr:row>45</xdr:row>
      <xdr:rowOff>186747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8C1B55F-2B66-4C8C-B8AD-606EAFA2DF37}"/>
            </a:ext>
          </a:extLst>
        </xdr:cNvPr>
        <xdr:cNvSpPr/>
      </xdr:nvSpPr>
      <xdr:spPr>
        <a:xfrm>
          <a:off x="4789609" y="76859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46</xdr:row>
      <xdr:rowOff>54118</xdr:rowOff>
    </xdr:from>
    <xdr:to>
      <xdr:col>8</xdr:col>
      <xdr:colOff>442179</xdr:colOff>
      <xdr:row>46</xdr:row>
      <xdr:rowOff>174923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9D07A77C-0665-4B3E-A6C5-CCB5D0017D36}"/>
            </a:ext>
          </a:extLst>
        </xdr:cNvPr>
        <xdr:cNvSpPr/>
      </xdr:nvSpPr>
      <xdr:spPr>
        <a:xfrm>
          <a:off x="4790923" y="79122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47</xdr:row>
      <xdr:rowOff>55432</xdr:rowOff>
    </xdr:from>
    <xdr:to>
      <xdr:col>8</xdr:col>
      <xdr:colOff>443493</xdr:colOff>
      <xdr:row>47</xdr:row>
      <xdr:rowOff>176237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20DD0063-F8BF-43EB-A4D2-F017236C2E52}"/>
            </a:ext>
          </a:extLst>
        </xdr:cNvPr>
        <xdr:cNvSpPr/>
      </xdr:nvSpPr>
      <xdr:spPr>
        <a:xfrm>
          <a:off x="4792237" y="81516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227134</xdr:colOff>
      <xdr:row>51</xdr:row>
      <xdr:rowOff>65942</xdr:rowOff>
    </xdr:from>
    <xdr:to>
      <xdr:col>8</xdr:col>
      <xdr:colOff>440865</xdr:colOff>
      <xdr:row>51</xdr:row>
      <xdr:rowOff>186747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63AE40C-566E-485E-ABD5-930CDFCA7020}"/>
            </a:ext>
          </a:extLst>
        </xdr:cNvPr>
        <xdr:cNvSpPr/>
      </xdr:nvSpPr>
      <xdr:spPr>
        <a:xfrm>
          <a:off x="4789609" y="87908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52</xdr:row>
      <xdr:rowOff>54118</xdr:rowOff>
    </xdr:from>
    <xdr:to>
      <xdr:col>8</xdr:col>
      <xdr:colOff>442179</xdr:colOff>
      <xdr:row>52</xdr:row>
      <xdr:rowOff>174923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A5CE2E85-DA4D-4391-9EA4-F618BC701F14}"/>
            </a:ext>
          </a:extLst>
        </xdr:cNvPr>
        <xdr:cNvSpPr/>
      </xdr:nvSpPr>
      <xdr:spPr>
        <a:xfrm>
          <a:off x="4790923" y="899809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53</xdr:row>
      <xdr:rowOff>55432</xdr:rowOff>
    </xdr:from>
    <xdr:to>
      <xdr:col>8</xdr:col>
      <xdr:colOff>443493</xdr:colOff>
      <xdr:row>53</xdr:row>
      <xdr:rowOff>176237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134CB46-7BA3-4B0A-8327-3FD8E11C5E3B}"/>
            </a:ext>
          </a:extLst>
        </xdr:cNvPr>
        <xdr:cNvSpPr/>
      </xdr:nvSpPr>
      <xdr:spPr>
        <a:xfrm>
          <a:off x="4792237" y="92184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45</xdr:row>
      <xdr:rowOff>65943</xdr:rowOff>
    </xdr:from>
    <xdr:to>
      <xdr:col>10</xdr:col>
      <xdr:colOff>474356</xdr:colOff>
      <xdr:row>45</xdr:row>
      <xdr:rowOff>186748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9CE7B0EC-D924-4E80-B55B-44C003D3A7AD}"/>
            </a:ext>
          </a:extLst>
        </xdr:cNvPr>
        <xdr:cNvSpPr/>
      </xdr:nvSpPr>
      <xdr:spPr>
        <a:xfrm>
          <a:off x="6042300" y="76859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46</xdr:row>
      <xdr:rowOff>59069</xdr:rowOff>
    </xdr:from>
    <xdr:to>
      <xdr:col>10</xdr:col>
      <xdr:colOff>475429</xdr:colOff>
      <xdr:row>46</xdr:row>
      <xdr:rowOff>179874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EBB91204-9129-4A25-95DB-1B95FF42511B}"/>
            </a:ext>
          </a:extLst>
        </xdr:cNvPr>
        <xdr:cNvSpPr/>
      </xdr:nvSpPr>
      <xdr:spPr>
        <a:xfrm>
          <a:off x="6043373" y="791719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47</xdr:row>
      <xdr:rowOff>53814</xdr:rowOff>
    </xdr:from>
    <xdr:to>
      <xdr:col>10</xdr:col>
      <xdr:colOff>470174</xdr:colOff>
      <xdr:row>47</xdr:row>
      <xdr:rowOff>174619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61610689-1CEB-4E75-B539-043E100DD2FE}"/>
            </a:ext>
          </a:extLst>
        </xdr:cNvPr>
        <xdr:cNvSpPr/>
      </xdr:nvSpPr>
      <xdr:spPr>
        <a:xfrm>
          <a:off x="6038118" y="81500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51</xdr:row>
      <xdr:rowOff>45891</xdr:rowOff>
    </xdr:from>
    <xdr:to>
      <xdr:col>10</xdr:col>
      <xdr:colOff>474356</xdr:colOff>
      <xdr:row>51</xdr:row>
      <xdr:rowOff>166696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D866BBCD-5150-4E50-A0CE-877660E546E9}"/>
            </a:ext>
          </a:extLst>
        </xdr:cNvPr>
        <xdr:cNvSpPr/>
      </xdr:nvSpPr>
      <xdr:spPr>
        <a:xfrm>
          <a:off x="6042300" y="8770791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52</xdr:row>
      <xdr:rowOff>44030</xdr:rowOff>
    </xdr:from>
    <xdr:to>
      <xdr:col>10</xdr:col>
      <xdr:colOff>475429</xdr:colOff>
      <xdr:row>52</xdr:row>
      <xdr:rowOff>164835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A5F445CE-6CBB-41A2-95CD-7C907B7E44A8}"/>
            </a:ext>
          </a:extLst>
        </xdr:cNvPr>
        <xdr:cNvSpPr/>
      </xdr:nvSpPr>
      <xdr:spPr>
        <a:xfrm>
          <a:off x="6043373" y="8988005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53</xdr:row>
      <xdr:rowOff>53814</xdr:rowOff>
    </xdr:from>
    <xdr:to>
      <xdr:col>10</xdr:col>
      <xdr:colOff>470174</xdr:colOff>
      <xdr:row>53</xdr:row>
      <xdr:rowOff>174619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22252972-0F11-4D62-A43F-947998451C90}"/>
            </a:ext>
          </a:extLst>
        </xdr:cNvPr>
        <xdr:cNvSpPr/>
      </xdr:nvSpPr>
      <xdr:spPr>
        <a:xfrm>
          <a:off x="6038118" y="92168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438978</xdr:colOff>
      <xdr:row>41</xdr:row>
      <xdr:rowOff>41414</xdr:rowOff>
    </xdr:from>
    <xdr:to>
      <xdr:col>10</xdr:col>
      <xdr:colOff>66261</xdr:colOff>
      <xdr:row>41</xdr:row>
      <xdr:rowOff>198783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62B60356-7F18-4C36-A977-20AD3B517309}"/>
            </a:ext>
          </a:extLst>
        </xdr:cNvPr>
        <xdr:cNvSpPr/>
      </xdr:nvSpPr>
      <xdr:spPr>
        <a:xfrm>
          <a:off x="5611053" y="7023239"/>
          <a:ext cx="236883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74543</xdr:colOff>
      <xdr:row>41</xdr:row>
      <xdr:rowOff>41414</xdr:rowOff>
    </xdr:from>
    <xdr:to>
      <xdr:col>11</xdr:col>
      <xdr:colOff>314739</xdr:colOff>
      <xdr:row>41</xdr:row>
      <xdr:rowOff>198783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183814A7-7C57-42D5-9414-08CD0EE144D8}"/>
            </a:ext>
          </a:extLst>
        </xdr:cNvPr>
        <xdr:cNvSpPr/>
      </xdr:nvSpPr>
      <xdr:spPr>
        <a:xfrm>
          <a:off x="6570593" y="7023239"/>
          <a:ext cx="240196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4</xdr:col>
      <xdr:colOff>466725</xdr:colOff>
      <xdr:row>61</xdr:row>
      <xdr:rowOff>85724</xdr:rowOff>
    </xdr:from>
    <xdr:to>
      <xdr:col>12</xdr:col>
      <xdr:colOff>86378</xdr:colOff>
      <xdr:row>63</xdr:row>
      <xdr:rowOff>95250</xdr:rowOff>
    </xdr:to>
    <xdr:pic>
      <xdr:nvPicPr>
        <xdr:cNvPr id="22" name="Imagen 21" descr="Texto&#10;&#10;Descripción generada automáticamente con confianza media">
          <a:extLst>
            <a:ext uri="{FF2B5EF4-FFF2-40B4-BE49-F238E27FC236}">
              <a16:creationId xmlns:a16="http://schemas.microsoft.com/office/drawing/2014/main" id="{3E17DBAD-2016-C713-14CB-EAB4C4DB0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14600" y="10515599"/>
          <a:ext cx="4677428" cy="457201"/>
        </a:xfrm>
        <a:prstGeom prst="rect">
          <a:avLst/>
        </a:prstGeom>
      </xdr:spPr>
    </xdr:pic>
    <xdr:clientData/>
  </xdr:twoCellAnchor>
  <xdr:twoCellAnchor editAs="oneCell">
    <xdr:from>
      <xdr:col>9</xdr:col>
      <xdr:colOff>59769</xdr:colOff>
      <xdr:row>40</xdr:row>
      <xdr:rowOff>88598</xdr:rowOff>
    </xdr:from>
    <xdr:to>
      <xdr:col>10</xdr:col>
      <xdr:colOff>242454</xdr:colOff>
      <xdr:row>40</xdr:row>
      <xdr:rowOff>134317</xdr:rowOff>
    </xdr:to>
    <xdr:pic>
      <xdr:nvPicPr>
        <xdr:cNvPr id="23" name="Imagen 22" descr="Imagen que contiene agua&#10;&#10;Descripción generada automáticamente">
          <a:extLst>
            <a:ext uri="{FF2B5EF4-FFF2-40B4-BE49-F238E27FC236}">
              <a16:creationId xmlns:a16="http://schemas.microsoft.com/office/drawing/2014/main" id="{52345AFF-17D4-FAC7-206F-76F8052B5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2234" t="54521" r="10308" b="33014"/>
        <a:stretch/>
      </xdr:blipFill>
      <xdr:spPr>
        <a:xfrm>
          <a:off x="5233576" y="6821041"/>
          <a:ext cx="793151" cy="45719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64</xdr:row>
      <xdr:rowOff>95249</xdr:rowOff>
    </xdr:from>
    <xdr:to>
      <xdr:col>13</xdr:col>
      <xdr:colOff>124148</xdr:colOff>
      <xdr:row>64</xdr:row>
      <xdr:rowOff>552450</xdr:rowOff>
    </xdr:to>
    <xdr:pic>
      <xdr:nvPicPr>
        <xdr:cNvPr id="27" name="Imagen 26" descr="Imagen en blanco y negro&#10;&#10;Descripción generada automáticamente con confianza baja">
          <a:extLst>
            <a:ext uri="{FF2B5EF4-FFF2-40B4-BE49-F238E27FC236}">
              <a16:creationId xmlns:a16="http://schemas.microsoft.com/office/drawing/2014/main" id="{5D53C994-4462-47D2-8FC3-9508FB13B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artisticPaintStrokes/>
                  </a14:imgEffect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724525" y="11153774"/>
          <a:ext cx="2314898" cy="457201"/>
        </a:xfrm>
        <a:prstGeom prst="rect">
          <a:avLst/>
        </a:prstGeom>
      </xdr:spPr>
    </xdr:pic>
    <xdr:clientData/>
  </xdr:twoCellAnchor>
  <xdr:twoCellAnchor editAs="oneCell">
    <xdr:from>
      <xdr:col>5</xdr:col>
      <xdr:colOff>52552</xdr:colOff>
      <xdr:row>64</xdr:row>
      <xdr:rowOff>144517</xdr:rowOff>
    </xdr:from>
    <xdr:to>
      <xdr:col>9</xdr:col>
      <xdr:colOff>5249</xdr:colOff>
      <xdr:row>64</xdr:row>
      <xdr:rowOff>601718</xdr:rowOff>
    </xdr:to>
    <xdr:pic>
      <xdr:nvPicPr>
        <xdr:cNvPr id="29" name="Imagen 28" descr="Imagen en blanco y negro&#10;&#10;Descripción generada automáticamente con confianza baja">
          <a:extLst>
            <a:ext uri="{FF2B5EF4-FFF2-40B4-BE49-F238E27FC236}">
              <a16:creationId xmlns:a16="http://schemas.microsoft.com/office/drawing/2014/main" id="{D8BF309D-E481-4F81-8E80-DC428883E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artisticPaintStrokes/>
                  </a14:imgEffect>
                  <a14:imgEffect>
                    <a14:saturation sat="3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857500" y="11219793"/>
          <a:ext cx="2317525" cy="45720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5</xdr:col>
      <xdr:colOff>1066</xdr:colOff>
      <xdr:row>5</xdr:row>
      <xdr:rowOff>188199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44C3270-8E0F-4A9D-87AA-08185D874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84" t="39855" r="22219" b="39789"/>
        <a:stretch>
          <a:fillRect/>
        </a:stretch>
      </xdr:blipFill>
      <xdr:spPr>
        <a:xfrm>
          <a:off x="754673" y="388327"/>
          <a:ext cx="2059931" cy="7596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227134</xdr:colOff>
      <xdr:row>45</xdr:row>
      <xdr:rowOff>65942</xdr:rowOff>
    </xdr:from>
    <xdr:to>
      <xdr:col>8</xdr:col>
      <xdr:colOff>440865</xdr:colOff>
      <xdr:row>45</xdr:row>
      <xdr:rowOff>186747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6F29BC7-7B5E-499B-BE81-684A0CB60B71}"/>
            </a:ext>
          </a:extLst>
        </xdr:cNvPr>
        <xdr:cNvSpPr/>
      </xdr:nvSpPr>
      <xdr:spPr>
        <a:xfrm>
          <a:off x="4789609" y="76859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46</xdr:row>
      <xdr:rowOff>54118</xdr:rowOff>
    </xdr:from>
    <xdr:to>
      <xdr:col>8</xdr:col>
      <xdr:colOff>442179</xdr:colOff>
      <xdr:row>46</xdr:row>
      <xdr:rowOff>174923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94D0024E-C6D7-479C-BED3-E6B7FDEB98C9}"/>
            </a:ext>
          </a:extLst>
        </xdr:cNvPr>
        <xdr:cNvSpPr/>
      </xdr:nvSpPr>
      <xdr:spPr>
        <a:xfrm>
          <a:off x="4790923" y="79122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47</xdr:row>
      <xdr:rowOff>55432</xdr:rowOff>
    </xdr:from>
    <xdr:to>
      <xdr:col>8</xdr:col>
      <xdr:colOff>443493</xdr:colOff>
      <xdr:row>47</xdr:row>
      <xdr:rowOff>176237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EB027065-B9F0-4ECF-A779-D697C711B7AA}"/>
            </a:ext>
          </a:extLst>
        </xdr:cNvPr>
        <xdr:cNvSpPr/>
      </xdr:nvSpPr>
      <xdr:spPr>
        <a:xfrm>
          <a:off x="4792237" y="81516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227134</xdr:colOff>
      <xdr:row>51</xdr:row>
      <xdr:rowOff>65942</xdr:rowOff>
    </xdr:from>
    <xdr:to>
      <xdr:col>8</xdr:col>
      <xdr:colOff>440865</xdr:colOff>
      <xdr:row>51</xdr:row>
      <xdr:rowOff>186747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72717BA3-8175-4A3C-82BB-77B8003C02A4}"/>
            </a:ext>
          </a:extLst>
        </xdr:cNvPr>
        <xdr:cNvSpPr/>
      </xdr:nvSpPr>
      <xdr:spPr>
        <a:xfrm>
          <a:off x="4789609" y="87908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52</xdr:row>
      <xdr:rowOff>54118</xdr:rowOff>
    </xdr:from>
    <xdr:to>
      <xdr:col>8</xdr:col>
      <xdr:colOff>442179</xdr:colOff>
      <xdr:row>52</xdr:row>
      <xdr:rowOff>174923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DEF6C47-B01D-4131-B4FC-6F2660645804}"/>
            </a:ext>
          </a:extLst>
        </xdr:cNvPr>
        <xdr:cNvSpPr/>
      </xdr:nvSpPr>
      <xdr:spPr>
        <a:xfrm>
          <a:off x="4790923" y="899809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53</xdr:row>
      <xdr:rowOff>55432</xdr:rowOff>
    </xdr:from>
    <xdr:to>
      <xdr:col>8</xdr:col>
      <xdr:colOff>443493</xdr:colOff>
      <xdr:row>53</xdr:row>
      <xdr:rowOff>176237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32E0CDEA-7ED4-4796-AD4F-35D5576F3A74}"/>
            </a:ext>
          </a:extLst>
        </xdr:cNvPr>
        <xdr:cNvSpPr/>
      </xdr:nvSpPr>
      <xdr:spPr>
        <a:xfrm>
          <a:off x="4792237" y="92184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45</xdr:row>
      <xdr:rowOff>65943</xdr:rowOff>
    </xdr:from>
    <xdr:to>
      <xdr:col>10</xdr:col>
      <xdr:colOff>474356</xdr:colOff>
      <xdr:row>45</xdr:row>
      <xdr:rowOff>186748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620B09C-05AF-412E-BD6B-EF3DEC1D0992}"/>
            </a:ext>
          </a:extLst>
        </xdr:cNvPr>
        <xdr:cNvSpPr/>
      </xdr:nvSpPr>
      <xdr:spPr>
        <a:xfrm>
          <a:off x="6042300" y="76859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46</xdr:row>
      <xdr:rowOff>59069</xdr:rowOff>
    </xdr:from>
    <xdr:to>
      <xdr:col>10</xdr:col>
      <xdr:colOff>475429</xdr:colOff>
      <xdr:row>46</xdr:row>
      <xdr:rowOff>179874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65E9ECF-C3AE-4BA3-A6F2-327B959C2D59}"/>
            </a:ext>
          </a:extLst>
        </xdr:cNvPr>
        <xdr:cNvSpPr/>
      </xdr:nvSpPr>
      <xdr:spPr>
        <a:xfrm>
          <a:off x="6043373" y="791719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47</xdr:row>
      <xdr:rowOff>53814</xdr:rowOff>
    </xdr:from>
    <xdr:to>
      <xdr:col>10</xdr:col>
      <xdr:colOff>470174</xdr:colOff>
      <xdr:row>47</xdr:row>
      <xdr:rowOff>174619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35A845DC-BFD9-4BA9-8F46-4394FADB5D14}"/>
            </a:ext>
          </a:extLst>
        </xdr:cNvPr>
        <xdr:cNvSpPr/>
      </xdr:nvSpPr>
      <xdr:spPr>
        <a:xfrm>
          <a:off x="6038118" y="81500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51</xdr:row>
      <xdr:rowOff>45891</xdr:rowOff>
    </xdr:from>
    <xdr:to>
      <xdr:col>10</xdr:col>
      <xdr:colOff>474356</xdr:colOff>
      <xdr:row>51</xdr:row>
      <xdr:rowOff>166696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8225D770-2AF6-4286-BE8B-B31ED8EC7E0D}"/>
            </a:ext>
          </a:extLst>
        </xdr:cNvPr>
        <xdr:cNvSpPr/>
      </xdr:nvSpPr>
      <xdr:spPr>
        <a:xfrm>
          <a:off x="6042300" y="8770791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52</xdr:row>
      <xdr:rowOff>44030</xdr:rowOff>
    </xdr:from>
    <xdr:to>
      <xdr:col>10</xdr:col>
      <xdr:colOff>475429</xdr:colOff>
      <xdr:row>52</xdr:row>
      <xdr:rowOff>164835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405652B8-FB76-4B77-AC46-4D5256192E1E}"/>
            </a:ext>
          </a:extLst>
        </xdr:cNvPr>
        <xdr:cNvSpPr/>
      </xdr:nvSpPr>
      <xdr:spPr>
        <a:xfrm>
          <a:off x="6043373" y="8988005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53</xdr:row>
      <xdr:rowOff>53814</xdr:rowOff>
    </xdr:from>
    <xdr:to>
      <xdr:col>10</xdr:col>
      <xdr:colOff>470174</xdr:colOff>
      <xdr:row>53</xdr:row>
      <xdr:rowOff>174619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FB837B11-7409-46CD-9BDC-7F9B263F64FC}"/>
            </a:ext>
          </a:extLst>
        </xdr:cNvPr>
        <xdr:cNvSpPr/>
      </xdr:nvSpPr>
      <xdr:spPr>
        <a:xfrm>
          <a:off x="6038118" y="92168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438978</xdr:colOff>
      <xdr:row>41</xdr:row>
      <xdr:rowOff>41414</xdr:rowOff>
    </xdr:from>
    <xdr:to>
      <xdr:col>10</xdr:col>
      <xdr:colOff>66261</xdr:colOff>
      <xdr:row>41</xdr:row>
      <xdr:rowOff>198783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F64C67C4-B038-4F72-8F11-DBA469311285}"/>
            </a:ext>
          </a:extLst>
        </xdr:cNvPr>
        <xdr:cNvSpPr/>
      </xdr:nvSpPr>
      <xdr:spPr>
        <a:xfrm>
          <a:off x="5611053" y="7023239"/>
          <a:ext cx="236883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74543</xdr:colOff>
      <xdr:row>41</xdr:row>
      <xdr:rowOff>41414</xdr:rowOff>
    </xdr:from>
    <xdr:to>
      <xdr:col>11</xdr:col>
      <xdr:colOff>314739</xdr:colOff>
      <xdr:row>41</xdr:row>
      <xdr:rowOff>198783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1B2C314-E680-409E-9BBD-F579E45FE301}"/>
            </a:ext>
          </a:extLst>
        </xdr:cNvPr>
        <xdr:cNvSpPr/>
      </xdr:nvSpPr>
      <xdr:spPr>
        <a:xfrm>
          <a:off x="6570593" y="7023239"/>
          <a:ext cx="240196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515471</xdr:colOff>
      <xdr:row>63</xdr:row>
      <xdr:rowOff>145676</xdr:rowOff>
    </xdr:from>
    <xdr:to>
      <xdr:col>17</xdr:col>
      <xdr:colOff>22021</xdr:colOff>
      <xdr:row>68</xdr:row>
      <xdr:rowOff>168089</xdr:rowOff>
    </xdr:to>
    <xdr:pic>
      <xdr:nvPicPr>
        <xdr:cNvPr id="17" name="Imagen 16" descr="Un dibujo de una persona&#10;&#10;Descripción generada automáticamente con confianza media">
          <a:extLst>
            <a:ext uri="{FF2B5EF4-FFF2-40B4-BE49-F238E27FC236}">
              <a16:creationId xmlns:a16="http://schemas.microsoft.com/office/drawing/2014/main" id="{6A4B5658-EA5D-3C76-E773-1523376895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371" b="6016"/>
        <a:stretch/>
      </xdr:blipFill>
      <xdr:spPr>
        <a:xfrm>
          <a:off x="9435353" y="11026588"/>
          <a:ext cx="1209844" cy="1434354"/>
        </a:xfrm>
        <a:prstGeom prst="rect">
          <a:avLst/>
        </a:prstGeom>
      </xdr:spPr>
    </xdr:pic>
    <xdr:clientData/>
  </xdr:twoCellAnchor>
  <xdr:twoCellAnchor editAs="oneCell">
    <xdr:from>
      <xdr:col>5</xdr:col>
      <xdr:colOff>424962</xdr:colOff>
      <xdr:row>64</xdr:row>
      <xdr:rowOff>95249</xdr:rowOff>
    </xdr:from>
    <xdr:to>
      <xdr:col>8</xdr:col>
      <xdr:colOff>65942</xdr:colOff>
      <xdr:row>65</xdr:row>
      <xdr:rowOff>363</xdr:rowOff>
    </xdr:to>
    <xdr:pic>
      <xdr:nvPicPr>
        <xdr:cNvPr id="20" name="Imagen 19" descr="Carta&#10;&#10;Descripción generada automáticamente">
          <a:extLst>
            <a:ext uri="{FF2B5EF4-FFF2-40B4-BE49-F238E27FC236}">
              <a16:creationId xmlns:a16="http://schemas.microsoft.com/office/drawing/2014/main" id="{38C5F6C5-CA7A-2B24-183F-E4AA8BC8C1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9110"/>
        <a:stretch/>
      </xdr:blipFill>
      <xdr:spPr>
        <a:xfrm>
          <a:off x="3238500" y="11180884"/>
          <a:ext cx="1392115" cy="558257"/>
        </a:xfrm>
        <a:prstGeom prst="rect">
          <a:avLst/>
        </a:prstGeom>
      </xdr:spPr>
    </xdr:pic>
    <xdr:clientData/>
  </xdr:twoCellAnchor>
  <xdr:twoCellAnchor editAs="oneCell">
    <xdr:from>
      <xdr:col>10</xdr:col>
      <xdr:colOff>320919</xdr:colOff>
      <xdr:row>64</xdr:row>
      <xdr:rowOff>64476</xdr:rowOff>
    </xdr:from>
    <xdr:to>
      <xdr:col>12</xdr:col>
      <xdr:colOff>386861</xdr:colOff>
      <xdr:row>64</xdr:row>
      <xdr:rowOff>622733</xdr:rowOff>
    </xdr:to>
    <xdr:pic>
      <xdr:nvPicPr>
        <xdr:cNvPr id="21" name="Imagen 20" descr="Carta&#10;&#10;Descripción generada automáticamente">
          <a:extLst>
            <a:ext uri="{FF2B5EF4-FFF2-40B4-BE49-F238E27FC236}">
              <a16:creationId xmlns:a16="http://schemas.microsoft.com/office/drawing/2014/main" id="{5B53E3F0-E061-4EFA-93C5-B59F2BB4F3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9110"/>
        <a:stretch/>
      </xdr:blipFill>
      <xdr:spPr>
        <a:xfrm>
          <a:off x="6101861" y="11150111"/>
          <a:ext cx="1392115" cy="558257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571501</xdr:colOff>
      <xdr:row>65</xdr:row>
      <xdr:rowOff>146540</xdr:rowOff>
    </xdr:from>
    <xdr:to>
      <xdr:col>8</xdr:col>
      <xdr:colOff>329712</xdr:colOff>
      <xdr:row>67</xdr:row>
      <xdr:rowOff>102578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6D15F7AA-8DF6-39BE-DF56-89D599BA0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5039" y="11891598"/>
          <a:ext cx="1509346" cy="337038"/>
        </a:xfrm>
        <a:prstGeom prst="rect">
          <a:avLst/>
        </a:prstGeom>
      </xdr:spPr>
    </xdr:pic>
    <xdr:clientData/>
  </xdr:twoCellAnchor>
  <xdr:twoCellAnchor editAs="oneCell">
    <xdr:from>
      <xdr:col>10</xdr:col>
      <xdr:colOff>496766</xdr:colOff>
      <xdr:row>65</xdr:row>
      <xdr:rowOff>181710</xdr:rowOff>
    </xdr:from>
    <xdr:to>
      <xdr:col>12</xdr:col>
      <xdr:colOff>679939</xdr:colOff>
      <xdr:row>67</xdr:row>
      <xdr:rowOff>137748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8CC3A4F5-CFCD-44A7-9234-35C72026C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7708" y="11926768"/>
          <a:ext cx="1509346" cy="337038"/>
        </a:xfrm>
        <a:prstGeom prst="rect">
          <a:avLst/>
        </a:prstGeom>
      </xdr:spPr>
    </xdr:pic>
    <xdr:clientData/>
  </xdr:twoCellAnchor>
  <xdr:twoCellAnchor editAs="oneCell">
    <xdr:from>
      <xdr:col>2</xdr:col>
      <xdr:colOff>293077</xdr:colOff>
      <xdr:row>56</xdr:row>
      <xdr:rowOff>21410</xdr:rowOff>
    </xdr:from>
    <xdr:to>
      <xdr:col>12</xdr:col>
      <xdr:colOff>424963</xdr:colOff>
      <xdr:row>59</xdr:row>
      <xdr:rowOff>1723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4447BFCF-1F76-FDC8-ED53-B8713B309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-1" b="14812"/>
        <a:stretch/>
      </xdr:blipFill>
      <xdr:spPr>
        <a:xfrm>
          <a:off x="1047750" y="9736910"/>
          <a:ext cx="6484328" cy="403551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43</xdr:row>
      <xdr:rowOff>156882</xdr:rowOff>
    </xdr:from>
    <xdr:to>
      <xdr:col>9</xdr:col>
      <xdr:colOff>18067</xdr:colOff>
      <xdr:row>46</xdr:row>
      <xdr:rowOff>123265</xdr:rowOff>
    </xdr:to>
    <xdr:pic>
      <xdr:nvPicPr>
        <xdr:cNvPr id="27" name="Imagen 26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23D50B58-E0A9-427F-AA95-C5DE0888E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0088" y="7485529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8</xdr:col>
      <xdr:colOff>163606</xdr:colOff>
      <xdr:row>45</xdr:row>
      <xdr:rowOff>118782</xdr:rowOff>
    </xdr:from>
    <xdr:to>
      <xdr:col>8</xdr:col>
      <xdr:colOff>596291</xdr:colOff>
      <xdr:row>47</xdr:row>
      <xdr:rowOff>141195</xdr:rowOff>
    </xdr:to>
    <xdr:pic>
      <xdr:nvPicPr>
        <xdr:cNvPr id="29" name="Imagen 28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D3092A8B-3282-4B19-8A61-123446F45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3194" y="7738782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10</xdr:col>
      <xdr:colOff>114299</xdr:colOff>
      <xdr:row>46</xdr:row>
      <xdr:rowOff>103094</xdr:rowOff>
    </xdr:from>
    <xdr:to>
      <xdr:col>10</xdr:col>
      <xdr:colOff>546984</xdr:colOff>
      <xdr:row>49</xdr:row>
      <xdr:rowOff>24654</xdr:rowOff>
    </xdr:to>
    <xdr:pic>
      <xdr:nvPicPr>
        <xdr:cNvPr id="30" name="Imagen 29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50CCDA8F-2884-4283-BE92-4E19E2FB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4123" y="7958418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8</xdr:col>
      <xdr:colOff>112059</xdr:colOff>
      <xdr:row>49</xdr:row>
      <xdr:rowOff>123263</xdr:rowOff>
    </xdr:from>
    <xdr:to>
      <xdr:col>8</xdr:col>
      <xdr:colOff>544744</xdr:colOff>
      <xdr:row>52</xdr:row>
      <xdr:rowOff>100853</xdr:rowOff>
    </xdr:to>
    <xdr:pic>
      <xdr:nvPicPr>
        <xdr:cNvPr id="31" name="Imagen 30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5637E750-CE0E-4BBA-9C8C-05780358F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1647" y="8550087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8</xdr:col>
      <xdr:colOff>197224</xdr:colOff>
      <xdr:row>51</xdr:row>
      <xdr:rowOff>73958</xdr:rowOff>
    </xdr:from>
    <xdr:to>
      <xdr:col>9</xdr:col>
      <xdr:colOff>24791</xdr:colOff>
      <xdr:row>53</xdr:row>
      <xdr:rowOff>118782</xdr:rowOff>
    </xdr:to>
    <xdr:pic>
      <xdr:nvPicPr>
        <xdr:cNvPr id="32" name="Imagen 31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F06DDE37-5739-4827-A5CF-68A7E1718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6812" y="8792134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170329</xdr:colOff>
      <xdr:row>52</xdr:row>
      <xdr:rowOff>91887</xdr:rowOff>
    </xdr:from>
    <xdr:to>
      <xdr:col>10</xdr:col>
      <xdr:colOff>603014</xdr:colOff>
      <xdr:row>55</xdr:row>
      <xdr:rowOff>24653</xdr:rowOff>
    </xdr:to>
    <xdr:pic>
      <xdr:nvPicPr>
        <xdr:cNvPr id="33" name="Imagen 32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172B6893-21DB-426F-92DB-9A91EDFCB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0153" y="9034181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9</xdr:col>
      <xdr:colOff>425823</xdr:colOff>
      <xdr:row>40</xdr:row>
      <xdr:rowOff>112059</xdr:rowOff>
    </xdr:from>
    <xdr:to>
      <xdr:col>10</xdr:col>
      <xdr:colOff>253390</xdr:colOff>
      <xdr:row>43</xdr:row>
      <xdr:rowOff>11207</xdr:rowOff>
    </xdr:to>
    <xdr:pic>
      <xdr:nvPicPr>
        <xdr:cNvPr id="34" name="Imagen 33" descr="Dibujo en blanco y negro&#10;&#10;Descripción generada automáticamente con confianza baja">
          <a:extLst>
            <a:ext uri="{FF2B5EF4-FFF2-40B4-BE49-F238E27FC236}">
              <a16:creationId xmlns:a16="http://schemas.microsoft.com/office/drawing/2014/main" id="{0D892430-F0C8-4B88-922C-F9CBEACB3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0529" y="6846794"/>
          <a:ext cx="432685" cy="493060"/>
        </a:xfrm>
        <a:prstGeom prst="rect">
          <a:avLst/>
        </a:prstGeom>
      </xdr:spPr>
    </xdr:pic>
    <xdr:clientData/>
  </xdr:twoCellAnchor>
  <xdr:twoCellAnchor editAs="oneCell">
    <xdr:from>
      <xdr:col>18</xdr:col>
      <xdr:colOff>728382</xdr:colOff>
      <xdr:row>62</xdr:row>
      <xdr:rowOff>62179</xdr:rowOff>
    </xdr:from>
    <xdr:to>
      <xdr:col>19</xdr:col>
      <xdr:colOff>12628</xdr:colOff>
      <xdr:row>68</xdr:row>
      <xdr:rowOff>100852</xdr:rowOff>
    </xdr:to>
    <xdr:pic>
      <xdr:nvPicPr>
        <xdr:cNvPr id="36" name="Imagen 35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41AD9638-CF89-9935-61FA-20B9BE1B8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6823" y="10651738"/>
          <a:ext cx="1099599" cy="1741967"/>
        </a:xfrm>
        <a:prstGeom prst="rect">
          <a:avLst/>
        </a:prstGeom>
      </xdr:spPr>
    </xdr:pic>
    <xdr:clientData/>
  </xdr:twoCellAnchor>
  <xdr:twoCellAnchor editAs="oneCell">
    <xdr:from>
      <xdr:col>18</xdr:col>
      <xdr:colOff>1479176</xdr:colOff>
      <xdr:row>62</xdr:row>
      <xdr:rowOff>15404</xdr:rowOff>
    </xdr:from>
    <xdr:to>
      <xdr:col>20</xdr:col>
      <xdr:colOff>190500</xdr:colOff>
      <xdr:row>68</xdr:row>
      <xdr:rowOff>101974</xdr:rowOff>
    </xdr:to>
    <xdr:pic>
      <xdr:nvPicPr>
        <xdr:cNvPr id="38" name="Imagen 37" descr="Imagen que contiene sostener, agua, hombre, luz&#10;&#10;Descripción generada automáticamente">
          <a:extLst>
            <a:ext uri="{FF2B5EF4-FFF2-40B4-BE49-F238E27FC236}">
              <a16:creationId xmlns:a16="http://schemas.microsoft.com/office/drawing/2014/main" id="{68EFB6A2-D71C-3657-4060-EAA4311B8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7617" y="10604963"/>
          <a:ext cx="1512795" cy="1789864"/>
        </a:xfrm>
        <a:prstGeom prst="rect">
          <a:avLst/>
        </a:prstGeom>
      </xdr:spPr>
    </xdr:pic>
    <xdr:clientData/>
  </xdr:twoCellAnchor>
  <xdr:twoCellAnchor editAs="oneCell">
    <xdr:from>
      <xdr:col>1</xdr:col>
      <xdr:colOff>427424</xdr:colOff>
      <xdr:row>62</xdr:row>
      <xdr:rowOff>40020</xdr:rowOff>
    </xdr:from>
    <xdr:to>
      <xdr:col>4</xdr:col>
      <xdr:colOff>9233</xdr:colOff>
      <xdr:row>66</xdr:row>
      <xdr:rowOff>176894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EECE0ABC-8DDD-D3CD-22DE-9179B7B10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995" y="10667199"/>
          <a:ext cx="1309917" cy="14431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5</xdr:col>
      <xdr:colOff>5252</xdr:colOff>
      <xdr:row>5</xdr:row>
      <xdr:rowOff>188199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4E1C2B05-6F98-4B7A-A8BD-51A2AFF4D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84" t="39855" r="22219" b="39789"/>
        <a:stretch>
          <a:fillRect/>
        </a:stretch>
      </xdr:blipFill>
      <xdr:spPr>
        <a:xfrm>
          <a:off x="762000" y="394607"/>
          <a:ext cx="2059931" cy="7596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227134</xdr:colOff>
      <xdr:row>45</xdr:row>
      <xdr:rowOff>65942</xdr:rowOff>
    </xdr:from>
    <xdr:to>
      <xdr:col>8</xdr:col>
      <xdr:colOff>440865</xdr:colOff>
      <xdr:row>45</xdr:row>
      <xdr:rowOff>186747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157CDA1-C5AD-4008-A099-7D7AE4310DAF}"/>
            </a:ext>
          </a:extLst>
        </xdr:cNvPr>
        <xdr:cNvSpPr/>
      </xdr:nvSpPr>
      <xdr:spPr>
        <a:xfrm>
          <a:off x="4789609" y="76859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46</xdr:row>
      <xdr:rowOff>54118</xdr:rowOff>
    </xdr:from>
    <xdr:to>
      <xdr:col>8</xdr:col>
      <xdr:colOff>442179</xdr:colOff>
      <xdr:row>46</xdr:row>
      <xdr:rowOff>174923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DE41DC17-75C4-4F35-82EA-37A2A919886A}"/>
            </a:ext>
          </a:extLst>
        </xdr:cNvPr>
        <xdr:cNvSpPr/>
      </xdr:nvSpPr>
      <xdr:spPr>
        <a:xfrm>
          <a:off x="4790923" y="79122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47</xdr:row>
      <xdr:rowOff>55432</xdr:rowOff>
    </xdr:from>
    <xdr:to>
      <xdr:col>8</xdr:col>
      <xdr:colOff>443493</xdr:colOff>
      <xdr:row>47</xdr:row>
      <xdr:rowOff>176237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23B03FA3-DE0C-43FA-A40B-B0D9E26C1262}"/>
            </a:ext>
          </a:extLst>
        </xdr:cNvPr>
        <xdr:cNvSpPr/>
      </xdr:nvSpPr>
      <xdr:spPr>
        <a:xfrm>
          <a:off x="4792237" y="81516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227134</xdr:colOff>
      <xdr:row>51</xdr:row>
      <xdr:rowOff>65942</xdr:rowOff>
    </xdr:from>
    <xdr:to>
      <xdr:col>8</xdr:col>
      <xdr:colOff>440865</xdr:colOff>
      <xdr:row>51</xdr:row>
      <xdr:rowOff>186747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2962778C-7663-4969-8C10-7672C3947B41}"/>
            </a:ext>
          </a:extLst>
        </xdr:cNvPr>
        <xdr:cNvSpPr/>
      </xdr:nvSpPr>
      <xdr:spPr>
        <a:xfrm>
          <a:off x="4789609" y="879084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228448</xdr:colOff>
      <xdr:row>52</xdr:row>
      <xdr:rowOff>54118</xdr:rowOff>
    </xdr:from>
    <xdr:to>
      <xdr:col>8</xdr:col>
      <xdr:colOff>442179</xdr:colOff>
      <xdr:row>52</xdr:row>
      <xdr:rowOff>174923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734A7C41-15A0-4145-9BCF-1F14346DB97E}"/>
            </a:ext>
          </a:extLst>
        </xdr:cNvPr>
        <xdr:cNvSpPr/>
      </xdr:nvSpPr>
      <xdr:spPr>
        <a:xfrm>
          <a:off x="4790923" y="899809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229762</xdr:colOff>
      <xdr:row>53</xdr:row>
      <xdr:rowOff>55432</xdr:rowOff>
    </xdr:from>
    <xdr:to>
      <xdr:col>8</xdr:col>
      <xdr:colOff>443493</xdr:colOff>
      <xdr:row>53</xdr:row>
      <xdr:rowOff>176237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6D013ABB-95EB-4BCB-94E2-A3DB751D85F2}"/>
            </a:ext>
          </a:extLst>
        </xdr:cNvPr>
        <xdr:cNvSpPr/>
      </xdr:nvSpPr>
      <xdr:spPr>
        <a:xfrm>
          <a:off x="4792237" y="9218482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45</xdr:row>
      <xdr:rowOff>65943</xdr:rowOff>
    </xdr:from>
    <xdr:to>
      <xdr:col>10</xdr:col>
      <xdr:colOff>474356</xdr:colOff>
      <xdr:row>45</xdr:row>
      <xdr:rowOff>186748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7B4A2095-0205-4772-ADBC-E98456BE0090}"/>
            </a:ext>
          </a:extLst>
        </xdr:cNvPr>
        <xdr:cNvSpPr/>
      </xdr:nvSpPr>
      <xdr:spPr>
        <a:xfrm>
          <a:off x="6042300" y="7685943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46</xdr:row>
      <xdr:rowOff>59069</xdr:rowOff>
    </xdr:from>
    <xdr:to>
      <xdr:col>10</xdr:col>
      <xdr:colOff>475429</xdr:colOff>
      <xdr:row>46</xdr:row>
      <xdr:rowOff>179874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BDF0F84A-06FD-4329-AADE-158AB87D7EEF}"/>
            </a:ext>
          </a:extLst>
        </xdr:cNvPr>
        <xdr:cNvSpPr/>
      </xdr:nvSpPr>
      <xdr:spPr>
        <a:xfrm>
          <a:off x="6043373" y="791719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47</xdr:row>
      <xdr:rowOff>53814</xdr:rowOff>
    </xdr:from>
    <xdr:to>
      <xdr:col>10</xdr:col>
      <xdr:colOff>470174</xdr:colOff>
      <xdr:row>47</xdr:row>
      <xdr:rowOff>174619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AC20FB02-A8BC-4EFA-A63E-50225FFC8F40}"/>
            </a:ext>
          </a:extLst>
        </xdr:cNvPr>
        <xdr:cNvSpPr/>
      </xdr:nvSpPr>
      <xdr:spPr>
        <a:xfrm>
          <a:off x="6038118" y="81500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260625</xdr:colOff>
      <xdr:row>51</xdr:row>
      <xdr:rowOff>45891</xdr:rowOff>
    </xdr:from>
    <xdr:to>
      <xdr:col>10</xdr:col>
      <xdr:colOff>474356</xdr:colOff>
      <xdr:row>51</xdr:row>
      <xdr:rowOff>166696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8EDE3CF2-66FA-463E-A2FA-9E25EEBBA317}"/>
            </a:ext>
          </a:extLst>
        </xdr:cNvPr>
        <xdr:cNvSpPr/>
      </xdr:nvSpPr>
      <xdr:spPr>
        <a:xfrm>
          <a:off x="6042300" y="8770791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261698</xdr:colOff>
      <xdr:row>52</xdr:row>
      <xdr:rowOff>44030</xdr:rowOff>
    </xdr:from>
    <xdr:to>
      <xdr:col>10</xdr:col>
      <xdr:colOff>475429</xdr:colOff>
      <xdr:row>52</xdr:row>
      <xdr:rowOff>164835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8D79A663-3941-4EF1-989C-38B9DCBB29E8}"/>
            </a:ext>
          </a:extLst>
        </xdr:cNvPr>
        <xdr:cNvSpPr/>
      </xdr:nvSpPr>
      <xdr:spPr>
        <a:xfrm>
          <a:off x="6043373" y="8988005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256443</xdr:colOff>
      <xdr:row>53</xdr:row>
      <xdr:rowOff>53814</xdr:rowOff>
    </xdr:from>
    <xdr:to>
      <xdr:col>10</xdr:col>
      <xdr:colOff>470174</xdr:colOff>
      <xdr:row>53</xdr:row>
      <xdr:rowOff>174619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FE7DE8E4-6387-4486-BDEB-24D0479E2396}"/>
            </a:ext>
          </a:extLst>
        </xdr:cNvPr>
        <xdr:cNvSpPr/>
      </xdr:nvSpPr>
      <xdr:spPr>
        <a:xfrm>
          <a:off x="6038118" y="9216864"/>
          <a:ext cx="213731" cy="120805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9</xdr:col>
      <xdr:colOff>438978</xdr:colOff>
      <xdr:row>41</xdr:row>
      <xdr:rowOff>41414</xdr:rowOff>
    </xdr:from>
    <xdr:to>
      <xdr:col>10</xdr:col>
      <xdr:colOff>66261</xdr:colOff>
      <xdr:row>41</xdr:row>
      <xdr:rowOff>198783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43EF9B06-35AF-4251-9EA3-9EF835C2386C}"/>
            </a:ext>
          </a:extLst>
        </xdr:cNvPr>
        <xdr:cNvSpPr/>
      </xdr:nvSpPr>
      <xdr:spPr>
        <a:xfrm>
          <a:off x="5611053" y="7023239"/>
          <a:ext cx="236883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74543</xdr:colOff>
      <xdr:row>41</xdr:row>
      <xdr:rowOff>41414</xdr:rowOff>
    </xdr:from>
    <xdr:to>
      <xdr:col>11</xdr:col>
      <xdr:colOff>314739</xdr:colOff>
      <xdr:row>41</xdr:row>
      <xdr:rowOff>198783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E4A4591-1AC5-4E1B-80CD-90F231D46455}"/>
            </a:ext>
          </a:extLst>
        </xdr:cNvPr>
        <xdr:cNvSpPr/>
      </xdr:nvSpPr>
      <xdr:spPr>
        <a:xfrm>
          <a:off x="6570593" y="7023239"/>
          <a:ext cx="240196" cy="157369"/>
        </a:xfrm>
        <a:prstGeom prst="rect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0</xdr:colOff>
      <xdr:row>2</xdr:row>
      <xdr:rowOff>0</xdr:rowOff>
    </xdr:from>
    <xdr:to>
      <xdr:col>4</xdr:col>
      <xdr:colOff>759561</xdr:colOff>
      <xdr:row>5</xdr:row>
      <xdr:rowOff>188199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120F7B3-7BED-4B42-92C1-B5B9BFB0B1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84" t="39855" r="22219" b="39789"/>
        <a:stretch>
          <a:fillRect/>
        </a:stretch>
      </xdr:blipFill>
      <xdr:spPr>
        <a:xfrm>
          <a:off x="753717" y="389283"/>
          <a:ext cx="2059931" cy="75969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AAF6-7993-4DC7-BF79-9A9ED597A488}">
  <sheetPr codeName="Hoja6"/>
  <dimension ref="A1:AO2"/>
  <sheetViews>
    <sheetView tabSelected="1" workbookViewId="0">
      <selection activeCell="B3" sqref="B3"/>
    </sheetView>
  </sheetViews>
  <sheetFormatPr baseColWidth="10" defaultRowHeight="15" x14ac:dyDescent="0.25"/>
  <cols>
    <col min="12" max="12" width="31.28515625" bestFit="1" customWidth="1"/>
  </cols>
  <sheetData>
    <row r="1" spans="1:41" x14ac:dyDescent="0.25">
      <c r="A1" s="70">
        <v>77950</v>
      </c>
      <c r="B1" s="53" t="s">
        <v>145</v>
      </c>
      <c r="C1" s="71">
        <v>45966</v>
      </c>
      <c r="D1" s="45">
        <v>1</v>
      </c>
      <c r="E1" s="45" t="s">
        <v>122</v>
      </c>
      <c r="F1" s="72">
        <v>45985</v>
      </c>
      <c r="G1" s="73">
        <v>8</v>
      </c>
      <c r="H1" s="72">
        <v>45986</v>
      </c>
      <c r="I1" s="73">
        <v>8</v>
      </c>
      <c r="J1" s="45" t="s">
        <v>146</v>
      </c>
      <c r="K1" s="45" t="s">
        <v>14</v>
      </c>
      <c r="L1" s="45" t="s">
        <v>147</v>
      </c>
      <c r="M1" s="45" t="s">
        <v>148</v>
      </c>
      <c r="N1" s="74" t="s">
        <v>111</v>
      </c>
      <c r="O1" s="74" t="s">
        <v>149</v>
      </c>
      <c r="P1" s="45">
        <v>54787130</v>
      </c>
      <c r="Q1" s="75">
        <v>1009990999</v>
      </c>
      <c r="R1" s="76">
        <v>3129229</v>
      </c>
      <c r="S1" s="76" t="s">
        <v>150</v>
      </c>
      <c r="T1" s="45" t="s">
        <v>142</v>
      </c>
      <c r="U1" s="45" t="s">
        <v>144</v>
      </c>
      <c r="V1" s="45">
        <v>2020</v>
      </c>
      <c r="W1" s="45" t="s">
        <v>142</v>
      </c>
      <c r="X1" s="45" t="s">
        <v>136</v>
      </c>
      <c r="Y1" s="45" t="s">
        <v>90</v>
      </c>
      <c r="Z1" s="45">
        <v>15</v>
      </c>
      <c r="AA1" s="77">
        <v>2.5</v>
      </c>
      <c r="AB1" s="45" t="s">
        <v>137</v>
      </c>
      <c r="AC1" s="78">
        <v>10</v>
      </c>
      <c r="AD1" s="78">
        <v>30</v>
      </c>
      <c r="AE1" s="78" t="s">
        <v>82</v>
      </c>
      <c r="AF1" s="78" t="s">
        <v>143</v>
      </c>
      <c r="AG1" s="45" t="s">
        <v>151</v>
      </c>
      <c r="AH1" s="45"/>
      <c r="AI1" s="45"/>
      <c r="AJ1" s="45"/>
      <c r="AK1" s="79"/>
      <c r="AL1" s="45"/>
      <c r="AM1" s="55"/>
      <c r="AN1" s="56"/>
      <c r="AO1" s="57"/>
    </row>
    <row r="2" spans="1:41" x14ac:dyDescent="0.25">
      <c r="A2">
        <v>77951</v>
      </c>
      <c r="B2" t="s">
        <v>152</v>
      </c>
      <c r="C2">
        <v>45966</v>
      </c>
      <c r="D2">
        <v>1</v>
      </c>
      <c r="E2" t="s">
        <v>122</v>
      </c>
      <c r="F2">
        <v>45985</v>
      </c>
      <c r="G2">
        <v>8.1999999999999993</v>
      </c>
      <c r="H2">
        <v>45986</v>
      </c>
      <c r="I2">
        <v>8</v>
      </c>
      <c r="J2" t="s">
        <v>153</v>
      </c>
      <c r="K2" t="s">
        <v>14</v>
      </c>
      <c r="L2" t="s">
        <v>147</v>
      </c>
      <c r="M2" t="s">
        <v>148</v>
      </c>
      <c r="N2" t="s">
        <v>111</v>
      </c>
      <c r="O2" t="s">
        <v>154</v>
      </c>
      <c r="P2">
        <v>54928790</v>
      </c>
      <c r="Q2">
        <v>1009990999</v>
      </c>
      <c r="R2">
        <v>3006415</v>
      </c>
      <c r="S2" t="s">
        <v>155</v>
      </c>
      <c r="T2" t="s">
        <v>142</v>
      </c>
      <c r="U2" t="s">
        <v>144</v>
      </c>
      <c r="V2">
        <v>2020</v>
      </c>
      <c r="W2" t="s">
        <v>142</v>
      </c>
      <c r="X2" t="s">
        <v>136</v>
      </c>
      <c r="Y2" t="s">
        <v>90</v>
      </c>
      <c r="Z2">
        <v>15</v>
      </c>
      <c r="AA2">
        <v>2.5</v>
      </c>
      <c r="AB2" t="s">
        <v>137</v>
      </c>
      <c r="AC2">
        <v>10</v>
      </c>
      <c r="AD2">
        <v>30</v>
      </c>
      <c r="AE2" t="s">
        <v>82</v>
      </c>
      <c r="AF2" t="s">
        <v>143</v>
      </c>
      <c r="AG2" t="s">
        <v>156</v>
      </c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73D06-D4F8-42EF-952E-182AE384639F}">
  <sheetPr codeName="Hoja3">
    <tabColor rgb="FFFFC000"/>
    <pageSetUpPr fitToPage="1"/>
  </sheetPr>
  <dimension ref="B2:BF72"/>
  <sheetViews>
    <sheetView showGridLines="0" view="pageBreakPreview" zoomScale="70" zoomScaleNormal="100" zoomScaleSheetLayoutView="70" workbookViewId="0">
      <selection activeCell="R4" sqref="R4:AX4"/>
    </sheetView>
  </sheetViews>
  <sheetFormatPr baseColWidth="10" defaultColWidth="9.140625" defaultRowHeight="15" x14ac:dyDescent="0.25"/>
  <cols>
    <col min="1" max="1" width="4.85546875" customWidth="1"/>
    <col min="2" max="2" width="6.42578125" customWidth="1"/>
    <col min="3" max="3" width="10.28515625" customWidth="1"/>
    <col min="5" max="5" width="11.42578125" customWidth="1"/>
    <col min="7" max="7" width="6.7109375" customWidth="1"/>
    <col min="8" max="8" width="10.42578125" customWidth="1"/>
    <col min="11" max="11" width="10.7109375" customWidth="1"/>
    <col min="13" max="13" width="12.140625" customWidth="1"/>
    <col min="14" max="14" width="6.42578125" customWidth="1"/>
    <col min="17" max="17" width="16.42578125" bestFit="1" customWidth="1"/>
    <col min="18" max="18" width="13.28515625" customWidth="1"/>
    <col min="19" max="19" width="27.28515625" bestFit="1" customWidth="1"/>
    <col min="20" max="20" width="14.85546875" bestFit="1" customWidth="1"/>
    <col min="21" max="21" width="22.7109375" bestFit="1" customWidth="1"/>
    <col min="22" max="22" width="24.28515625" bestFit="1" customWidth="1"/>
    <col min="23" max="23" width="19.7109375" bestFit="1" customWidth="1"/>
    <col min="24" max="24" width="21.140625" bestFit="1" customWidth="1"/>
    <col min="25" max="25" width="21.42578125" customWidth="1"/>
    <col min="26" max="26" width="18.7109375" customWidth="1"/>
    <col min="27" max="27" width="26.42578125" customWidth="1"/>
    <col min="28" max="28" width="18.5703125" customWidth="1"/>
    <col min="29" max="29" width="28.28515625" customWidth="1"/>
    <col min="30" max="30" width="62.28515625" bestFit="1" customWidth="1"/>
    <col min="31" max="31" width="12.5703125" customWidth="1"/>
    <col min="32" max="32" width="16" bestFit="1" customWidth="1"/>
    <col min="33" max="33" width="12.42578125" bestFit="1" customWidth="1"/>
    <col min="34" max="34" width="12.42578125" customWidth="1"/>
    <col min="35" max="35" width="25" bestFit="1" customWidth="1"/>
    <col min="37" max="37" width="16.7109375" customWidth="1"/>
    <col min="38" max="38" width="18.5703125" customWidth="1"/>
    <col min="39" max="39" width="10.5703125" customWidth="1"/>
    <col min="47" max="47" width="18.28515625" customWidth="1"/>
    <col min="48" max="48" width="16.5703125" customWidth="1"/>
  </cols>
  <sheetData>
    <row r="2" spans="2:58" ht="15.75" thickBot="1" x14ac:dyDescent="0.3">
      <c r="B2" s="18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2:58" ht="15.75" thickBot="1" x14ac:dyDescent="0.3">
      <c r="B3" s="19"/>
      <c r="C3" s="83"/>
      <c r="D3" s="83"/>
      <c r="E3" s="83"/>
      <c r="F3" s="84" t="s">
        <v>0</v>
      </c>
      <c r="G3" s="84"/>
      <c r="H3" s="84"/>
      <c r="I3" s="84"/>
      <c r="J3" s="85"/>
      <c r="K3" s="1" t="s">
        <v>1</v>
      </c>
      <c r="L3" s="86" t="s">
        <v>2</v>
      </c>
      <c r="M3" s="87"/>
      <c r="N3" s="20"/>
      <c r="R3" s="26" t="s">
        <v>43</v>
      </c>
      <c r="S3" s="27" t="s">
        <v>45</v>
      </c>
      <c r="T3" s="27" t="s">
        <v>46</v>
      </c>
      <c r="U3" s="27" t="s">
        <v>47</v>
      </c>
      <c r="V3" s="27" t="s">
        <v>48</v>
      </c>
      <c r="W3" s="27" t="s">
        <v>49</v>
      </c>
      <c r="X3" s="27" t="s">
        <v>50</v>
      </c>
      <c r="Y3" s="27" t="s">
        <v>51</v>
      </c>
      <c r="Z3" s="27" t="s">
        <v>52</v>
      </c>
      <c r="AA3" s="27" t="s">
        <v>53</v>
      </c>
      <c r="AB3" s="27" t="s">
        <v>54</v>
      </c>
      <c r="AC3" s="27" t="s">
        <v>55</v>
      </c>
      <c r="AD3" s="27" t="s">
        <v>56</v>
      </c>
      <c r="AE3" s="27" t="s">
        <v>57</v>
      </c>
      <c r="AF3" s="27" t="s">
        <v>58</v>
      </c>
      <c r="AG3" s="27" t="s">
        <v>59</v>
      </c>
      <c r="AH3" s="27" t="s">
        <v>80</v>
      </c>
      <c r="AI3" s="27" t="s">
        <v>60</v>
      </c>
      <c r="AJ3" s="27" t="s">
        <v>61</v>
      </c>
      <c r="AK3" s="27" t="s">
        <v>62</v>
      </c>
      <c r="AL3" s="27" t="s">
        <v>63</v>
      </c>
      <c r="AM3" s="27" t="s">
        <v>64</v>
      </c>
      <c r="AN3" s="27" t="s">
        <v>65</v>
      </c>
      <c r="AO3" s="27" t="s">
        <v>66</v>
      </c>
      <c r="AP3" s="27" t="s">
        <v>67</v>
      </c>
      <c r="AQ3" s="27" t="s">
        <v>68</v>
      </c>
      <c r="AR3" s="27" t="s">
        <v>69</v>
      </c>
      <c r="AS3" s="27" t="s">
        <v>70</v>
      </c>
      <c r="AT3" s="27" t="s">
        <v>71</v>
      </c>
      <c r="AU3" s="27" t="s">
        <v>72</v>
      </c>
      <c r="AV3" s="27" t="s">
        <v>73</v>
      </c>
      <c r="AW3" s="27" t="s">
        <v>74</v>
      </c>
    </row>
    <row r="4" spans="2:58" ht="14.45" customHeight="1" x14ac:dyDescent="0.25">
      <c r="B4" s="19"/>
      <c r="C4" s="83"/>
      <c r="D4" s="83"/>
      <c r="E4" s="83"/>
      <c r="F4" s="88" t="s">
        <v>3</v>
      </c>
      <c r="G4" s="88"/>
      <c r="H4" s="88"/>
      <c r="I4" s="88"/>
      <c r="J4" s="89"/>
      <c r="K4" s="1" t="s">
        <v>4</v>
      </c>
      <c r="L4" s="94" t="s">
        <v>5</v>
      </c>
      <c r="M4" s="87"/>
      <c r="N4" s="20"/>
      <c r="R4" s="64"/>
      <c r="S4" s="44" t="s">
        <v>152</v>
      </c>
      <c r="T4" s="58">
        <v>45966</v>
      </c>
      <c r="U4" s="43">
        <v>1</v>
      </c>
      <c r="V4" s="66" t="s">
        <v>122</v>
      </c>
      <c r="W4" s="67">
        <v>45985</v>
      </c>
      <c r="X4" s="68">
        <v>8.1999999999999993</v>
      </c>
      <c r="Y4" s="67">
        <v>45986</v>
      </c>
      <c r="Z4" s="68">
        <v>8</v>
      </c>
      <c r="AA4" s="43" t="s">
        <v>153</v>
      </c>
      <c r="AB4" s="43" t="s">
        <v>14</v>
      </c>
      <c r="AC4" s="43" t="s">
        <v>147</v>
      </c>
      <c r="AD4" s="43" t="s">
        <v>148</v>
      </c>
      <c r="AE4" s="65" t="s">
        <v>111</v>
      </c>
      <c r="AF4" s="65" t="s">
        <v>154</v>
      </c>
      <c r="AG4" s="43">
        <v>54928790</v>
      </c>
      <c r="AH4" s="69">
        <v>1009990999</v>
      </c>
      <c r="AI4" s="62">
        <v>3006415</v>
      </c>
      <c r="AJ4" s="43" t="s">
        <v>155</v>
      </c>
      <c r="AK4" s="43" t="s">
        <v>142</v>
      </c>
      <c r="AL4" s="43" t="s">
        <v>144</v>
      </c>
      <c r="AM4" s="43">
        <v>2020</v>
      </c>
      <c r="AN4" s="43" t="s">
        <v>142</v>
      </c>
      <c r="AO4" s="43" t="s">
        <v>136</v>
      </c>
      <c r="AP4" s="43" t="s">
        <v>90</v>
      </c>
      <c r="AQ4" s="43">
        <v>15</v>
      </c>
      <c r="AR4" s="46">
        <v>2.5</v>
      </c>
      <c r="AS4" s="43" t="s">
        <v>137</v>
      </c>
      <c r="AT4" s="47">
        <v>10</v>
      </c>
      <c r="AU4" s="47">
        <v>30</v>
      </c>
      <c r="AV4" s="47" t="s">
        <v>82</v>
      </c>
      <c r="AW4" s="47" t="s">
        <v>143</v>
      </c>
      <c r="AX4" s="43" t="s">
        <v>156</v>
      </c>
      <c r="AY4" s="45">
        <v>792</v>
      </c>
      <c r="AZ4" s="45">
        <v>792</v>
      </c>
      <c r="BA4" s="45" t="s">
        <v>95</v>
      </c>
      <c r="BB4" s="45" t="s">
        <v>83</v>
      </c>
      <c r="BC4" s="45" t="s">
        <v>96</v>
      </c>
      <c r="BD4" s="55">
        <v>45987</v>
      </c>
      <c r="BE4" s="56">
        <v>10.3</v>
      </c>
      <c r="BF4" s="57" t="s">
        <v>135</v>
      </c>
    </row>
    <row r="5" spans="2:58" x14ac:dyDescent="0.25">
      <c r="B5" s="19"/>
      <c r="C5" s="83"/>
      <c r="D5" s="83"/>
      <c r="E5" s="83"/>
      <c r="F5" s="90"/>
      <c r="G5" s="90"/>
      <c r="H5" s="90"/>
      <c r="I5" s="90"/>
      <c r="J5" s="91"/>
      <c r="K5" s="2" t="s">
        <v>6</v>
      </c>
      <c r="L5" s="94" t="s">
        <v>7</v>
      </c>
      <c r="M5" s="87"/>
      <c r="N5" s="20"/>
      <c r="P5" s="22"/>
      <c r="T5" s="49"/>
    </row>
    <row r="6" spans="2:58" x14ac:dyDescent="0.25">
      <c r="B6" s="19"/>
      <c r="C6" s="83"/>
      <c r="D6" s="83"/>
      <c r="E6" s="83"/>
      <c r="F6" s="92"/>
      <c r="G6" s="92"/>
      <c r="H6" s="92"/>
      <c r="I6" s="92"/>
      <c r="J6" s="93"/>
      <c r="K6" s="1" t="s">
        <v>8</v>
      </c>
      <c r="L6" s="86" t="s">
        <v>9</v>
      </c>
      <c r="M6" s="87"/>
      <c r="N6" s="20"/>
      <c r="T6" s="49"/>
    </row>
    <row r="7" spans="2:58" ht="6.75" customHeight="1" x14ac:dyDescent="0.25">
      <c r="B7" s="1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20"/>
    </row>
    <row r="8" spans="2:58" ht="6.75" customHeight="1" x14ac:dyDescent="0.25">
      <c r="B8" s="19"/>
      <c r="C8" s="30"/>
      <c r="D8" s="30"/>
      <c r="E8" s="30"/>
      <c r="F8" s="30"/>
      <c r="G8" s="30"/>
      <c r="H8" s="30"/>
      <c r="I8" s="100" t="s">
        <v>10</v>
      </c>
      <c r="J8" s="100"/>
      <c r="K8" s="101" t="str">
        <f>MID(S4,4,255)</f>
        <v>77951</v>
      </c>
      <c r="L8" s="102"/>
      <c r="M8" s="99"/>
      <c r="N8" s="20"/>
    </row>
    <row r="9" spans="2:58" ht="13.5" customHeight="1" x14ac:dyDescent="0.25">
      <c r="B9" s="19"/>
      <c r="C9" s="30"/>
      <c r="D9" s="30"/>
      <c r="E9" s="30"/>
      <c r="F9" s="30"/>
      <c r="G9" s="30"/>
      <c r="H9" s="30"/>
      <c r="I9" s="100"/>
      <c r="J9" s="100"/>
      <c r="K9" s="102"/>
      <c r="L9" s="102"/>
      <c r="M9" s="99"/>
      <c r="N9" s="20"/>
    </row>
    <row r="10" spans="2:58" ht="8.25" customHeight="1" x14ac:dyDescent="0.25">
      <c r="B10" s="1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20"/>
    </row>
    <row r="11" spans="2:58" x14ac:dyDescent="0.25">
      <c r="B11" s="19"/>
      <c r="C11" s="30" t="s">
        <v>75</v>
      </c>
      <c r="D11" s="103">
        <f>X4</f>
        <v>8.1999999999999993</v>
      </c>
      <c r="E11" s="104"/>
      <c r="F11" s="30" t="s">
        <v>76</v>
      </c>
      <c r="G11" s="30"/>
      <c r="H11" s="105">
        <f>W4</f>
        <v>45985</v>
      </c>
      <c r="I11" s="105"/>
      <c r="J11" s="30" t="s">
        <v>123</v>
      </c>
      <c r="K11" s="30"/>
      <c r="L11" s="30"/>
      <c r="M11" s="30"/>
      <c r="N11" s="20"/>
    </row>
    <row r="12" spans="2:58" ht="2.25" customHeight="1" x14ac:dyDescent="0.25">
      <c r="B12" s="19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20"/>
    </row>
    <row r="13" spans="2:58" x14ac:dyDescent="0.25">
      <c r="B13" s="19"/>
      <c r="C13" s="30" t="s">
        <v>11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20"/>
    </row>
    <row r="14" spans="2:58" ht="3" customHeight="1" x14ac:dyDescent="0.25">
      <c r="B14" s="1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20"/>
    </row>
    <row r="15" spans="2:58" x14ac:dyDescent="0.25">
      <c r="B15" s="19"/>
      <c r="C15" s="30" t="s">
        <v>12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20"/>
    </row>
    <row r="16" spans="2:58" ht="7.5" customHeight="1" x14ac:dyDescent="0.25">
      <c r="B16" s="1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0"/>
    </row>
    <row r="17" spans="2:17" ht="4.5" customHeight="1" x14ac:dyDescent="0.25">
      <c r="B17" s="1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0"/>
    </row>
    <row r="18" spans="2:17" ht="18.75" customHeight="1" x14ac:dyDescent="0.25">
      <c r="B18" s="19"/>
      <c r="C18" s="95" t="s">
        <v>13</v>
      </c>
      <c r="D18" s="96"/>
      <c r="E18" s="96"/>
      <c r="F18" s="96" t="str">
        <f>+AB4</f>
        <v>EPS SEDAPAL</v>
      </c>
      <c r="G18" s="96"/>
      <c r="H18" s="96"/>
      <c r="I18" s="96"/>
      <c r="J18" s="96"/>
      <c r="K18" s="96"/>
      <c r="L18" s="96"/>
      <c r="M18" s="106"/>
      <c r="N18" s="20"/>
    </row>
    <row r="19" spans="2:17" ht="6.75" customHeight="1" x14ac:dyDescent="0.25">
      <c r="B19" s="1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20"/>
    </row>
    <row r="20" spans="2:17" ht="19.5" customHeight="1" x14ac:dyDescent="0.25">
      <c r="B20" s="19"/>
      <c r="C20" s="95" t="s">
        <v>15</v>
      </c>
      <c r="D20" s="96"/>
      <c r="E20" s="96"/>
      <c r="F20" s="96" t="str">
        <f>+AC4</f>
        <v>Equipo Comercial Breña</v>
      </c>
      <c r="G20" s="96"/>
      <c r="H20" s="96"/>
      <c r="I20" s="96"/>
      <c r="J20" s="96"/>
      <c r="K20" s="97" t="str">
        <f>IF(V4="Oficio",AD4&amp;" - Oficio",IF(V4="Reclamo",AD4&amp;" - Reclamo",""))</f>
        <v>Remesa 491 - Oficio</v>
      </c>
      <c r="L20" s="97"/>
      <c r="M20" s="98"/>
      <c r="N20" s="20"/>
    </row>
    <row r="21" spans="2:17" ht="10.5" customHeight="1" x14ac:dyDescent="0.25">
      <c r="B21" s="19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20"/>
      <c r="Q21" s="34"/>
    </row>
    <row r="22" spans="2:17" x14ac:dyDescent="0.25">
      <c r="B22" s="19"/>
      <c r="C22" s="31" t="s">
        <v>16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20"/>
    </row>
    <row r="23" spans="2:17" ht="9" customHeight="1" x14ac:dyDescent="0.25">
      <c r="B23" s="1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20"/>
    </row>
    <row r="24" spans="2:17" ht="19.5" customHeight="1" x14ac:dyDescent="0.25">
      <c r="B24" s="19"/>
      <c r="C24" s="3" t="s">
        <v>17</v>
      </c>
      <c r="D24" s="32" t="s">
        <v>18</v>
      </c>
      <c r="E24" s="32"/>
      <c r="F24" s="32"/>
      <c r="G24" s="32"/>
      <c r="H24" s="4"/>
      <c r="I24" s="32" t="s">
        <v>19</v>
      </c>
      <c r="J24" s="30"/>
      <c r="K24" s="30"/>
      <c r="L24" s="30"/>
      <c r="M24" s="30"/>
      <c r="N24" s="20"/>
    </row>
    <row r="25" spans="2:17" ht="8.25" customHeight="1" x14ac:dyDescent="0.25">
      <c r="B25" s="1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20"/>
    </row>
    <row r="26" spans="2:17" x14ac:dyDescent="0.25">
      <c r="B26" s="19"/>
      <c r="C26" s="31" t="s">
        <v>20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20"/>
    </row>
    <row r="27" spans="2:17" ht="10.5" customHeight="1" x14ac:dyDescent="0.25">
      <c r="B27" s="1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20"/>
    </row>
    <row r="28" spans="2:17" ht="18.75" customHeight="1" x14ac:dyDescent="0.25">
      <c r="B28" s="19"/>
      <c r="C28" s="5" t="s">
        <v>21</v>
      </c>
      <c r="D28" s="23" t="str">
        <f>+AE4</f>
        <v>NO INDICA</v>
      </c>
      <c r="E28" s="6"/>
      <c r="F28" s="7"/>
      <c r="G28" s="7"/>
      <c r="H28" s="7"/>
      <c r="I28" s="7"/>
      <c r="J28" s="7"/>
      <c r="K28" s="7"/>
      <c r="L28" s="7"/>
      <c r="M28" s="8"/>
      <c r="N28" s="20"/>
    </row>
    <row r="29" spans="2:17" ht="4.5" customHeight="1" x14ac:dyDescent="0.25">
      <c r="B29" s="19"/>
      <c r="C29" s="32"/>
      <c r="D29" s="32"/>
      <c r="E29" s="33"/>
      <c r="F29" s="30"/>
      <c r="G29" s="30"/>
      <c r="H29" s="30"/>
      <c r="I29" s="30"/>
      <c r="J29" s="30"/>
      <c r="K29" s="30"/>
      <c r="L29" s="30"/>
      <c r="M29" s="30"/>
      <c r="N29" s="20"/>
    </row>
    <row r="30" spans="2:17" ht="21" customHeight="1" x14ac:dyDescent="0.25">
      <c r="B30" s="19"/>
      <c r="C30" s="5" t="s">
        <v>22</v>
      </c>
      <c r="D30" s="24" t="str">
        <f>+AF4</f>
        <v>JR CUSCO/484///A/CERCADO/LIMA (CERCADO)</v>
      </c>
      <c r="E30" s="6"/>
      <c r="F30" s="7"/>
      <c r="G30" s="7"/>
      <c r="H30" s="7"/>
      <c r="I30" s="7"/>
      <c r="J30" s="7"/>
      <c r="K30" s="7"/>
      <c r="L30" s="7"/>
      <c r="M30" s="8"/>
      <c r="N30" s="20"/>
    </row>
    <row r="31" spans="2:17" ht="5.25" customHeight="1" x14ac:dyDescent="0.25">
      <c r="B31" s="19"/>
      <c r="C31" s="32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20"/>
    </row>
    <row r="32" spans="2:17" ht="21" customHeight="1" x14ac:dyDescent="0.25">
      <c r="B32" s="19"/>
      <c r="C32" s="95" t="s">
        <v>23</v>
      </c>
      <c r="D32" s="96"/>
      <c r="E32" s="25">
        <f>+AI4</f>
        <v>3006415</v>
      </c>
      <c r="F32" s="7"/>
      <c r="G32" s="7"/>
      <c r="H32" s="7"/>
      <c r="I32" s="7"/>
      <c r="J32" s="7"/>
      <c r="K32" s="7"/>
      <c r="L32" s="7"/>
      <c r="M32" s="8"/>
      <c r="N32" s="20"/>
    </row>
    <row r="33" spans="2:51" x14ac:dyDescent="0.25">
      <c r="B33" s="1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20"/>
    </row>
    <row r="34" spans="2:51" x14ac:dyDescent="0.25">
      <c r="B34" s="19"/>
      <c r="C34" s="31" t="s">
        <v>24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20"/>
    </row>
    <row r="35" spans="2:51" ht="11.25" customHeight="1" x14ac:dyDescent="0.25">
      <c r="B35" s="1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20"/>
    </row>
    <row r="36" spans="2:51" ht="19.5" customHeight="1" x14ac:dyDescent="0.25">
      <c r="B36" s="19"/>
      <c r="C36" s="9" t="str">
        <f>"N° de serie  de medidor: "&amp;AJ4</f>
        <v>N° de serie  de medidor: EA20192915</v>
      </c>
      <c r="D36" s="10"/>
      <c r="E36" s="10"/>
      <c r="F36" s="10"/>
      <c r="G36" s="10"/>
      <c r="H36" s="11"/>
      <c r="I36" s="5" t="str">
        <f>"Tipo: "&amp;AP4</f>
        <v>Tipo: MÚLTIPLE</v>
      </c>
      <c r="J36" s="7"/>
      <c r="K36" s="7"/>
      <c r="L36" s="7"/>
      <c r="M36" s="8"/>
      <c r="N36" s="20"/>
    </row>
    <row r="37" spans="2:51" ht="19.5" customHeight="1" x14ac:dyDescent="0.25">
      <c r="B37" s="19"/>
      <c r="C37" s="5" t="str">
        <f>"Marca del medidor:  "&amp;AK4</f>
        <v>Marca del medidor:  ELSTER</v>
      </c>
      <c r="D37" s="7"/>
      <c r="E37" s="7"/>
      <c r="F37" s="7"/>
      <c r="G37" s="7"/>
      <c r="H37" s="8"/>
      <c r="I37" s="5" t="str">
        <f>"Diámetro nominal (mm): "&amp;AQ4</f>
        <v>Diámetro nominal (mm): 15</v>
      </c>
      <c r="J37" s="7"/>
      <c r="K37" s="7"/>
      <c r="L37" s="7"/>
      <c r="M37" s="8"/>
      <c r="N37" s="20"/>
    </row>
    <row r="38" spans="2:51" ht="19.5" customHeight="1" x14ac:dyDescent="0.25">
      <c r="B38" s="19"/>
      <c r="C38" s="12" t="str">
        <f>"Modelo de medidor: "&amp;AL4&amp;"   Año fabricación: "&amp;AM4</f>
        <v>Modelo de medidor: M 170   Año fabricación: 2020</v>
      </c>
      <c r="D38" s="13"/>
      <c r="E38" s="13"/>
      <c r="F38" s="13"/>
      <c r="G38" s="13"/>
      <c r="H38" s="14"/>
      <c r="I38" s="5" t="str">
        <f>"Q3 (m3/h): "&amp;AR4</f>
        <v>Q3 (m3/h): 2.5</v>
      </c>
      <c r="J38" s="7"/>
      <c r="K38" s="7"/>
      <c r="L38" s="7"/>
      <c r="M38" s="8"/>
      <c r="N38" s="20"/>
    </row>
    <row r="39" spans="2:51" ht="19.5" customHeight="1" x14ac:dyDescent="0.25">
      <c r="B39" s="19"/>
      <c r="C39" s="5" t="str">
        <f>"Fabricante: "&amp;AN4</f>
        <v>Fabricante: ELSTER</v>
      </c>
      <c r="D39" s="7"/>
      <c r="E39" s="7"/>
      <c r="F39" s="7"/>
      <c r="G39" s="7"/>
      <c r="H39" s="8"/>
      <c r="I39" s="5" t="str">
        <f>"Alcance (Q3/Q1): "&amp;AS4</f>
        <v>Alcance (Q3/Q1): R125</v>
      </c>
      <c r="J39" s="7"/>
      <c r="K39" s="7"/>
      <c r="L39" s="7"/>
      <c r="M39" s="8"/>
      <c r="N39" s="20"/>
    </row>
    <row r="40" spans="2:51" ht="19.5" customHeight="1" x14ac:dyDescent="0.25">
      <c r="B40" s="19"/>
      <c r="C40" s="9" t="str">
        <f>"Procedencia: "&amp;AO4</f>
        <v>Procedencia: BRASIL</v>
      </c>
      <c r="D40" s="10"/>
      <c r="F40" s="10"/>
      <c r="G40" s="10"/>
      <c r="H40" s="11"/>
      <c r="I40" s="5" t="str">
        <f>"PMA (bar): "&amp;AT4&amp;"    TMA (°C):   "&amp;AU4</f>
        <v>PMA (bar): 10    TMA (°C):   30</v>
      </c>
      <c r="J40" s="7"/>
      <c r="K40" s="7"/>
      <c r="L40" s="7"/>
      <c r="M40" s="8"/>
      <c r="N40" s="20"/>
    </row>
    <row r="41" spans="2:51" ht="19.5" customHeight="1" x14ac:dyDescent="0.25">
      <c r="B41" s="19"/>
      <c r="C41" s="5" t="s">
        <v>25</v>
      </c>
      <c r="D41" s="7"/>
      <c r="E41" s="7"/>
      <c r="F41" s="7"/>
      <c r="G41" s="7"/>
      <c r="H41" s="7"/>
      <c r="I41" s="15"/>
      <c r="J41" s="7"/>
      <c r="K41" s="7"/>
      <c r="L41" s="7"/>
      <c r="M41" s="8"/>
      <c r="N41" s="20"/>
    </row>
    <row r="42" spans="2:51" ht="19.5" customHeight="1" x14ac:dyDescent="0.25">
      <c r="B42" s="19"/>
      <c r="C42" s="5" t="s">
        <v>78</v>
      </c>
      <c r="D42" s="7"/>
      <c r="E42" s="7"/>
      <c r="F42" s="7"/>
      <c r="G42" s="7"/>
      <c r="H42" s="7"/>
      <c r="I42" s="15"/>
      <c r="J42" s="36" t="s">
        <v>79</v>
      </c>
      <c r="K42" s="36" t="s">
        <v>29</v>
      </c>
      <c r="L42" s="7"/>
      <c r="M42" s="8"/>
      <c r="N42" s="20"/>
    </row>
    <row r="43" spans="2:51" ht="8.25" customHeight="1" x14ac:dyDescent="0.25">
      <c r="B43" s="19"/>
      <c r="C43" s="32"/>
      <c r="D43" s="30"/>
      <c r="E43" s="30"/>
      <c r="F43" s="30"/>
      <c r="G43" s="30"/>
      <c r="H43" s="30"/>
      <c r="I43" s="32"/>
      <c r="J43" s="30"/>
      <c r="K43" s="30"/>
      <c r="L43" s="30"/>
      <c r="M43" s="30"/>
      <c r="N43" s="20"/>
    </row>
    <row r="44" spans="2:51" x14ac:dyDescent="0.25">
      <c r="B44" s="19"/>
      <c r="C44" s="31" t="s">
        <v>26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20"/>
    </row>
    <row r="45" spans="2:51" ht="7.5" customHeight="1" x14ac:dyDescent="0.25">
      <c r="B45" s="19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20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2:51" s="17" customFormat="1" ht="18.75" customHeight="1" x14ac:dyDescent="0.25">
      <c r="B46" s="37"/>
      <c r="C46" s="5" t="s">
        <v>27</v>
      </c>
      <c r="D46" s="15"/>
      <c r="E46" s="15"/>
      <c r="F46" s="15"/>
      <c r="G46" s="15"/>
      <c r="H46" s="15"/>
      <c r="I46" s="15" t="s">
        <v>28</v>
      </c>
      <c r="J46" s="15"/>
      <c r="K46" s="15" t="s">
        <v>29</v>
      </c>
      <c r="L46" s="16"/>
      <c r="M46" s="32"/>
      <c r="N46" s="38"/>
    </row>
    <row r="47" spans="2:51" s="17" customFormat="1" ht="18.75" customHeight="1" x14ac:dyDescent="0.25">
      <c r="B47" s="37"/>
      <c r="C47" s="5" t="s">
        <v>30</v>
      </c>
      <c r="D47" s="15"/>
      <c r="E47" s="15"/>
      <c r="F47" s="15"/>
      <c r="G47" s="15"/>
      <c r="H47" s="15"/>
      <c r="I47" s="15" t="s">
        <v>28</v>
      </c>
      <c r="J47" s="15"/>
      <c r="K47" s="15" t="s">
        <v>29</v>
      </c>
      <c r="L47" s="16"/>
      <c r="M47" s="32"/>
      <c r="N47" s="38"/>
    </row>
    <row r="48" spans="2:51" s="17" customFormat="1" ht="18.75" customHeight="1" x14ac:dyDescent="0.25">
      <c r="B48" s="37"/>
      <c r="C48" s="5" t="s">
        <v>31</v>
      </c>
      <c r="D48" s="15"/>
      <c r="E48" s="15"/>
      <c r="F48" s="15"/>
      <c r="G48" s="15"/>
      <c r="H48" s="15"/>
      <c r="I48" s="15" t="s">
        <v>28</v>
      </c>
      <c r="J48" s="15"/>
      <c r="K48" s="15" t="s">
        <v>29</v>
      </c>
      <c r="L48" s="16"/>
      <c r="M48" s="32"/>
      <c r="N48" s="3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2:29" ht="8.25" customHeight="1" x14ac:dyDescent="0.25">
      <c r="B49" s="19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20"/>
    </row>
    <row r="50" spans="2:29" x14ac:dyDescent="0.25">
      <c r="B50" s="19"/>
      <c r="C50" s="31" t="s">
        <v>32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20"/>
    </row>
    <row r="51" spans="2:29" ht="7.5" customHeight="1" x14ac:dyDescent="0.25">
      <c r="B51" s="1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20"/>
    </row>
    <row r="52" spans="2:29" ht="17.25" customHeight="1" x14ac:dyDescent="0.25">
      <c r="B52" s="19"/>
      <c r="C52" s="5" t="s">
        <v>33</v>
      </c>
      <c r="D52" s="15"/>
      <c r="E52" s="15"/>
      <c r="F52" s="15"/>
      <c r="G52" s="15"/>
      <c r="H52" s="15"/>
      <c r="I52" s="15" t="s">
        <v>28</v>
      </c>
      <c r="J52" s="15"/>
      <c r="K52" s="15" t="s">
        <v>29</v>
      </c>
      <c r="L52" s="16"/>
      <c r="M52" s="30"/>
      <c r="N52" s="20"/>
    </row>
    <row r="53" spans="2:29" ht="17.25" customHeight="1" x14ac:dyDescent="0.25">
      <c r="B53" s="19"/>
      <c r="C53" s="5" t="s">
        <v>34</v>
      </c>
      <c r="D53" s="15"/>
      <c r="E53" s="15"/>
      <c r="F53" s="15"/>
      <c r="G53" s="15"/>
      <c r="H53" s="15"/>
      <c r="I53" s="15" t="s">
        <v>28</v>
      </c>
      <c r="J53" s="15"/>
      <c r="K53" s="15" t="s">
        <v>29</v>
      </c>
      <c r="L53" s="16"/>
      <c r="M53" s="30"/>
      <c r="N53" s="20"/>
    </row>
    <row r="54" spans="2:29" ht="17.25" customHeight="1" x14ac:dyDescent="0.25">
      <c r="B54" s="19"/>
      <c r="C54" s="5" t="s">
        <v>35</v>
      </c>
      <c r="D54" s="15"/>
      <c r="E54" s="15"/>
      <c r="F54" s="15"/>
      <c r="G54" s="15"/>
      <c r="H54" s="15"/>
      <c r="I54" s="15" t="s">
        <v>28</v>
      </c>
      <c r="J54" s="15"/>
      <c r="K54" s="15" t="s">
        <v>29</v>
      </c>
      <c r="L54" s="16"/>
      <c r="M54" s="30"/>
      <c r="N54" s="20"/>
    </row>
    <row r="55" spans="2:29" ht="9" customHeight="1" x14ac:dyDescent="0.25">
      <c r="B55" s="19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20"/>
    </row>
    <row r="56" spans="2:29" x14ac:dyDescent="0.25">
      <c r="B56" s="19"/>
      <c r="C56" s="31" t="s">
        <v>36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20"/>
    </row>
    <row r="57" spans="2:29" ht="10.5" customHeight="1" x14ac:dyDescent="0.25">
      <c r="B57" s="19"/>
      <c r="C57" s="18"/>
      <c r="D57" s="10"/>
      <c r="E57" s="10"/>
      <c r="F57" s="10"/>
      <c r="G57" s="10"/>
      <c r="H57" s="10"/>
      <c r="I57" s="10"/>
      <c r="J57" s="10"/>
      <c r="K57" s="10"/>
      <c r="L57" s="10"/>
      <c r="M57" s="11"/>
      <c r="N57" s="20"/>
    </row>
    <row r="58" spans="2:29" x14ac:dyDescent="0.25">
      <c r="B58" s="19"/>
      <c r="C58" s="19"/>
      <c r="D58" s="30"/>
      <c r="E58" s="30"/>
      <c r="F58" s="30"/>
      <c r="G58" s="30"/>
      <c r="H58" s="30"/>
      <c r="I58" s="30"/>
      <c r="J58" s="30"/>
      <c r="K58" s="30"/>
      <c r="L58" s="30"/>
      <c r="M58" s="20"/>
      <c r="N58" s="20"/>
    </row>
    <row r="59" spans="2:29" ht="8.25" customHeight="1" x14ac:dyDescent="0.25">
      <c r="B59" s="19"/>
      <c r="C59" s="21"/>
      <c r="D59" s="13"/>
      <c r="E59" s="13"/>
      <c r="F59" s="13"/>
      <c r="G59" s="13"/>
      <c r="H59" s="13"/>
      <c r="I59" s="13"/>
      <c r="J59" s="13"/>
      <c r="K59" s="13"/>
      <c r="L59" s="13"/>
      <c r="M59" s="14"/>
      <c r="N59" s="20"/>
    </row>
    <row r="60" spans="2:29" ht="9.75" customHeight="1" x14ac:dyDescent="0.25">
      <c r="B60" s="1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20"/>
    </row>
    <row r="61" spans="2:29" x14ac:dyDescent="0.25">
      <c r="B61" s="19"/>
      <c r="C61" s="31" t="s">
        <v>37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20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</row>
    <row r="62" spans="2:29" ht="12.75" customHeight="1" x14ac:dyDescent="0.25">
      <c r="B62" s="19"/>
      <c r="C62" s="18" t="s">
        <v>38</v>
      </c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20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</row>
    <row r="63" spans="2:29" ht="22.5" customHeight="1" x14ac:dyDescent="0.25">
      <c r="B63" s="19"/>
      <c r="C63" s="19"/>
      <c r="D63" s="30"/>
      <c r="E63" s="30"/>
      <c r="F63" s="30"/>
      <c r="G63" s="30"/>
      <c r="H63" s="30"/>
      <c r="I63" s="30"/>
      <c r="J63" s="30"/>
      <c r="K63" s="30"/>
      <c r="L63" s="30"/>
      <c r="M63" s="20"/>
      <c r="N63" s="20"/>
      <c r="Q63" s="28"/>
      <c r="R63" s="28"/>
    </row>
    <row r="64" spans="2:29" ht="14.25" customHeight="1" x14ac:dyDescent="0.25">
      <c r="B64" s="19"/>
      <c r="C64" s="21"/>
      <c r="D64" s="13"/>
      <c r="E64" s="13"/>
      <c r="F64" s="13"/>
      <c r="G64" s="13"/>
      <c r="H64" s="13"/>
      <c r="I64" s="13"/>
      <c r="J64" s="13"/>
      <c r="K64" s="13"/>
      <c r="L64" s="13"/>
      <c r="M64" s="14"/>
      <c r="N64" s="20"/>
    </row>
    <row r="65" spans="2:16" ht="51.75" customHeight="1" x14ac:dyDescent="0.25">
      <c r="B65" s="1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20"/>
    </row>
    <row r="66" spans="2:16" x14ac:dyDescent="0.25">
      <c r="B66" s="19"/>
      <c r="C66" s="10" t="s">
        <v>39</v>
      </c>
      <c r="D66" s="10"/>
      <c r="E66" s="30"/>
      <c r="F66" s="10" t="s">
        <v>40</v>
      </c>
      <c r="G66" s="10"/>
      <c r="H66" s="10"/>
      <c r="I66" s="10"/>
      <c r="J66" s="30"/>
      <c r="K66" s="10" t="s">
        <v>41</v>
      </c>
      <c r="L66" s="10"/>
      <c r="M66" s="10"/>
      <c r="N66" s="20"/>
    </row>
    <row r="67" spans="2:16" x14ac:dyDescent="0.25">
      <c r="B67" s="19"/>
      <c r="C67" s="30" t="s">
        <v>21</v>
      </c>
      <c r="D67" s="30"/>
      <c r="E67" s="30"/>
      <c r="F67" s="30" t="s">
        <v>21</v>
      </c>
      <c r="G67" s="30"/>
      <c r="H67" s="30"/>
      <c r="I67" s="30"/>
      <c r="J67" s="30"/>
      <c r="K67" s="30" t="s">
        <v>21</v>
      </c>
      <c r="L67" s="30"/>
      <c r="M67" s="30"/>
      <c r="N67" s="20"/>
    </row>
    <row r="68" spans="2:16" x14ac:dyDescent="0.25">
      <c r="B68" s="19"/>
      <c r="C68" s="30" t="s">
        <v>42</v>
      </c>
      <c r="D68" s="30"/>
      <c r="E68" s="30"/>
      <c r="F68" s="30" t="s">
        <v>42</v>
      </c>
      <c r="G68" s="30"/>
      <c r="H68" s="30"/>
      <c r="I68" s="30"/>
      <c r="J68" s="30"/>
      <c r="K68" s="30" t="s">
        <v>42</v>
      </c>
      <c r="L68" s="30"/>
      <c r="M68" s="30"/>
      <c r="N68" s="20"/>
    </row>
    <row r="69" spans="2:16" ht="14.25" customHeight="1" x14ac:dyDescent="0.25">
      <c r="B69" s="1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20"/>
    </row>
    <row r="70" spans="2:16" ht="14.25" customHeight="1" x14ac:dyDescent="0.25">
      <c r="B70" s="39"/>
      <c r="C70" s="35" t="str">
        <f>"CUS:"&amp;AG4</f>
        <v>CUS:54928790</v>
      </c>
      <c r="D70" s="29"/>
      <c r="F70" s="29"/>
      <c r="G70" s="29"/>
      <c r="H70" s="29"/>
      <c r="I70" s="29"/>
      <c r="J70" s="29"/>
      <c r="K70" s="29"/>
      <c r="L70" s="29"/>
      <c r="M70" s="29"/>
      <c r="N70" s="40"/>
      <c r="O70" s="29"/>
      <c r="P70" s="29"/>
    </row>
    <row r="71" spans="2:16" ht="14.25" customHeight="1" x14ac:dyDescent="0.25">
      <c r="B71" s="39"/>
      <c r="C71" s="35" t="str">
        <f>"CUP:"&amp;AH4</f>
        <v>CUP:1009990999</v>
      </c>
      <c r="D71" s="29"/>
      <c r="E71" s="81" t="s">
        <v>104</v>
      </c>
      <c r="F71" s="29"/>
      <c r="G71" s="29"/>
      <c r="H71" s="29"/>
      <c r="I71" s="29"/>
      <c r="J71" s="29"/>
      <c r="K71" s="29"/>
      <c r="L71" s="29"/>
      <c r="M71" s="29"/>
      <c r="N71" s="63"/>
      <c r="O71" s="29"/>
      <c r="P71" s="29"/>
    </row>
    <row r="72" spans="2:16" x14ac:dyDescent="0.25">
      <c r="B72" s="21"/>
      <c r="C72" s="4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42" t="str">
        <f>K8</f>
        <v>77951</v>
      </c>
    </row>
  </sheetData>
  <protectedRanges>
    <protectedRange algorithmName="SHA-512" hashValue="A80YXKDWlhcdYQ/P2aYcoX3USyfl83MCg+iInzEB16yr+KEPvqwOlvogLqzAwrcQObx/qR5HDo2dIsXz+222AA==" saltValue="lkC9BidwrGzDJzAVJefzeg==" spinCount="100000" sqref="AA4" name="Milagros_1_4"/>
  </protectedRanges>
  <mergeCells count="18">
    <mergeCell ref="C20:E20"/>
    <mergeCell ref="F20:J20"/>
    <mergeCell ref="K20:M20"/>
    <mergeCell ref="C32:D32"/>
    <mergeCell ref="M8:M9"/>
    <mergeCell ref="I8:J9"/>
    <mergeCell ref="K8:L9"/>
    <mergeCell ref="D11:E11"/>
    <mergeCell ref="H11:I11"/>
    <mergeCell ref="C18:E18"/>
    <mergeCell ref="F18:M18"/>
    <mergeCell ref="C3:E6"/>
    <mergeCell ref="F3:J3"/>
    <mergeCell ref="L3:M3"/>
    <mergeCell ref="F4:J6"/>
    <mergeCell ref="L4:M4"/>
    <mergeCell ref="L5:M5"/>
    <mergeCell ref="L6:M6"/>
  </mergeCells>
  <conditionalFormatting sqref="X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/>
  <pageMargins left="0" right="0" top="0" bottom="0" header="0" footer="0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4E75-45C9-4C3B-AE54-EE113A92160E}">
  <sheetPr codeName="Hoja2">
    <tabColor rgb="FFFF0000"/>
    <pageSetUpPr fitToPage="1"/>
  </sheetPr>
  <dimension ref="B2:BF72"/>
  <sheetViews>
    <sheetView showGridLines="0" view="pageBreakPreview" zoomScale="70" zoomScaleNormal="100" zoomScaleSheetLayoutView="70" workbookViewId="0">
      <selection activeCell="R4" sqref="R4:BF4"/>
    </sheetView>
  </sheetViews>
  <sheetFormatPr baseColWidth="10" defaultColWidth="9.140625" defaultRowHeight="15" x14ac:dyDescent="0.25"/>
  <cols>
    <col min="1" max="1" width="4.85546875" customWidth="1"/>
    <col min="2" max="2" width="6.42578125" customWidth="1"/>
    <col min="3" max="3" width="10.28515625" customWidth="1"/>
    <col min="5" max="5" width="11.42578125" customWidth="1"/>
    <col min="7" max="7" width="6.7109375" customWidth="1"/>
    <col min="8" max="8" width="10.42578125" customWidth="1"/>
    <col min="11" max="11" width="10.7109375" customWidth="1"/>
    <col min="13" max="13" width="12.140625" customWidth="1"/>
    <col min="14" max="14" width="6.42578125" customWidth="1"/>
    <col min="17" max="17" width="16.42578125" bestFit="1" customWidth="1"/>
    <col min="18" max="18" width="13.28515625" customWidth="1"/>
    <col min="19" max="19" width="27.28515625" bestFit="1" customWidth="1"/>
    <col min="20" max="20" width="14.85546875" bestFit="1" customWidth="1"/>
    <col min="21" max="21" width="22.7109375" bestFit="1" customWidth="1"/>
    <col min="22" max="22" width="24.28515625" bestFit="1" customWidth="1"/>
    <col min="23" max="23" width="19.7109375" bestFit="1" customWidth="1"/>
    <col min="24" max="24" width="21.140625" bestFit="1" customWidth="1"/>
    <col min="25" max="25" width="21.42578125" customWidth="1"/>
    <col min="26" max="26" width="18.7109375" customWidth="1"/>
    <col min="27" max="27" width="26.42578125" customWidth="1"/>
    <col min="28" max="28" width="18.5703125" customWidth="1"/>
    <col min="29" max="29" width="28.28515625" customWidth="1"/>
    <col min="30" max="30" width="62.28515625" bestFit="1" customWidth="1"/>
    <col min="31" max="31" width="12.5703125" customWidth="1"/>
    <col min="32" max="32" width="16" bestFit="1" customWidth="1"/>
    <col min="33" max="33" width="12.42578125" bestFit="1" customWidth="1"/>
    <col min="34" max="34" width="12.42578125" customWidth="1"/>
    <col min="35" max="35" width="25" bestFit="1" customWidth="1"/>
    <col min="37" max="37" width="16.7109375" customWidth="1"/>
    <col min="38" max="38" width="18.5703125" customWidth="1"/>
    <col min="39" max="39" width="10.5703125" customWidth="1"/>
    <col min="47" max="47" width="18.28515625" customWidth="1"/>
    <col min="48" max="48" width="16.5703125" customWidth="1"/>
  </cols>
  <sheetData>
    <row r="2" spans="2:58" ht="15.75" thickBot="1" x14ac:dyDescent="0.3">
      <c r="B2" s="18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2:58" ht="15.75" thickBot="1" x14ac:dyDescent="0.3">
      <c r="B3" s="19"/>
      <c r="C3" s="83"/>
      <c r="D3" s="83"/>
      <c r="E3" s="83"/>
      <c r="F3" s="84" t="s">
        <v>0</v>
      </c>
      <c r="G3" s="84"/>
      <c r="H3" s="84"/>
      <c r="I3" s="84"/>
      <c r="J3" s="85"/>
      <c r="K3" s="1" t="s">
        <v>1</v>
      </c>
      <c r="L3" s="86" t="s">
        <v>2</v>
      </c>
      <c r="M3" s="87"/>
      <c r="N3" s="20"/>
      <c r="R3" s="26" t="s">
        <v>43</v>
      </c>
      <c r="S3" s="27" t="s">
        <v>45</v>
      </c>
      <c r="T3" s="27" t="s">
        <v>46</v>
      </c>
      <c r="U3" s="27" t="s">
        <v>47</v>
      </c>
      <c r="V3" s="27" t="s">
        <v>48</v>
      </c>
      <c r="W3" s="27" t="s">
        <v>49</v>
      </c>
      <c r="X3" s="27" t="s">
        <v>50</v>
      </c>
      <c r="Y3" s="27" t="s">
        <v>51</v>
      </c>
      <c r="Z3" s="27" t="s">
        <v>52</v>
      </c>
      <c r="AA3" s="27" t="s">
        <v>53</v>
      </c>
      <c r="AB3" s="27" t="s">
        <v>54</v>
      </c>
      <c r="AC3" s="27" t="s">
        <v>55</v>
      </c>
      <c r="AD3" s="27" t="s">
        <v>56</v>
      </c>
      <c r="AE3" s="27" t="s">
        <v>57</v>
      </c>
      <c r="AF3" s="27" t="s">
        <v>58</v>
      </c>
      <c r="AG3" s="27" t="s">
        <v>59</v>
      </c>
      <c r="AH3" s="27" t="s">
        <v>80</v>
      </c>
      <c r="AI3" s="27" t="s">
        <v>60</v>
      </c>
      <c r="AJ3" s="27" t="s">
        <v>61</v>
      </c>
      <c r="AK3" s="27" t="s">
        <v>62</v>
      </c>
      <c r="AL3" s="27" t="s">
        <v>63</v>
      </c>
      <c r="AM3" s="27" t="s">
        <v>64</v>
      </c>
      <c r="AN3" s="27" t="s">
        <v>65</v>
      </c>
      <c r="AO3" s="27" t="s">
        <v>66</v>
      </c>
      <c r="AP3" s="27" t="s">
        <v>67</v>
      </c>
      <c r="AQ3" s="27" t="s">
        <v>68</v>
      </c>
      <c r="AR3" s="27" t="s">
        <v>69</v>
      </c>
      <c r="AS3" s="27" t="s">
        <v>70</v>
      </c>
      <c r="AT3" s="27" t="s">
        <v>71</v>
      </c>
      <c r="AU3" s="27" t="s">
        <v>72</v>
      </c>
      <c r="AV3" s="27" t="s">
        <v>73</v>
      </c>
      <c r="AW3" s="27" t="s">
        <v>74</v>
      </c>
    </row>
    <row r="4" spans="2:58" ht="14.45" customHeight="1" x14ac:dyDescent="0.25">
      <c r="B4" s="19"/>
      <c r="C4" s="83"/>
      <c r="D4" s="83"/>
      <c r="E4" s="83"/>
      <c r="F4" s="88" t="s">
        <v>3</v>
      </c>
      <c r="G4" s="88"/>
      <c r="H4" s="88"/>
      <c r="I4" s="88"/>
      <c r="J4" s="89"/>
      <c r="K4" s="1" t="s">
        <v>4</v>
      </c>
      <c r="L4" s="94" t="s">
        <v>5</v>
      </c>
      <c r="M4" s="87"/>
      <c r="N4" s="20"/>
      <c r="R4" s="64">
        <v>54047</v>
      </c>
      <c r="S4" s="44" t="s">
        <v>115</v>
      </c>
      <c r="T4" s="58">
        <v>45898</v>
      </c>
      <c r="U4" s="43">
        <v>1</v>
      </c>
      <c r="V4" s="66" t="s">
        <v>92</v>
      </c>
      <c r="W4" s="67">
        <v>45909</v>
      </c>
      <c r="X4" s="68">
        <v>16</v>
      </c>
      <c r="Y4" s="67">
        <v>45910</v>
      </c>
      <c r="Z4" s="68">
        <v>14.3</v>
      </c>
      <c r="AA4" s="43" t="s">
        <v>77</v>
      </c>
      <c r="AB4" s="43" t="s">
        <v>14</v>
      </c>
      <c r="AC4" s="43" t="s">
        <v>101</v>
      </c>
      <c r="AD4" s="43" t="s">
        <v>116</v>
      </c>
      <c r="AE4" s="65" t="s">
        <v>117</v>
      </c>
      <c r="AF4" s="65" t="s">
        <v>118</v>
      </c>
      <c r="AG4" s="43">
        <v>159516130</v>
      </c>
      <c r="AH4" s="69">
        <v>40008330130</v>
      </c>
      <c r="AI4" s="62">
        <v>4163411</v>
      </c>
      <c r="AJ4" s="43" t="s">
        <v>119</v>
      </c>
      <c r="AK4" s="43" t="s">
        <v>102</v>
      </c>
      <c r="AL4" s="43" t="s">
        <v>97</v>
      </c>
      <c r="AM4" s="43">
        <v>2024</v>
      </c>
      <c r="AN4" s="43" t="s">
        <v>102</v>
      </c>
      <c r="AO4" s="43" t="s">
        <v>98</v>
      </c>
      <c r="AP4" s="43" t="s">
        <v>99</v>
      </c>
      <c r="AQ4" s="43">
        <v>20</v>
      </c>
      <c r="AR4" s="46">
        <v>4</v>
      </c>
      <c r="AS4" s="43" t="s">
        <v>100</v>
      </c>
      <c r="AT4" s="47">
        <v>16</v>
      </c>
      <c r="AU4" s="47">
        <v>30</v>
      </c>
      <c r="AV4" s="47" t="s">
        <v>82</v>
      </c>
      <c r="AW4" s="47" t="s">
        <v>103</v>
      </c>
      <c r="AX4" s="43" t="s">
        <v>120</v>
      </c>
      <c r="AY4" s="43">
        <v>222</v>
      </c>
      <c r="AZ4" s="43">
        <v>222</v>
      </c>
      <c r="BA4" s="43" t="s">
        <v>94</v>
      </c>
      <c r="BB4" s="43" t="s">
        <v>83</v>
      </c>
      <c r="BC4" s="43" t="s">
        <v>121</v>
      </c>
      <c r="BD4" s="50">
        <v>45911</v>
      </c>
      <c r="BE4" s="51">
        <v>16</v>
      </c>
      <c r="BF4" s="57" t="s">
        <v>84</v>
      </c>
    </row>
    <row r="5" spans="2:58" x14ac:dyDescent="0.25">
      <c r="B5" s="19"/>
      <c r="C5" s="83"/>
      <c r="D5" s="83"/>
      <c r="E5" s="83"/>
      <c r="F5" s="90"/>
      <c r="G5" s="90"/>
      <c r="H5" s="90"/>
      <c r="I5" s="90"/>
      <c r="J5" s="91"/>
      <c r="K5" s="2" t="s">
        <v>6</v>
      </c>
      <c r="L5" s="94" t="s">
        <v>7</v>
      </c>
      <c r="M5" s="87"/>
      <c r="N5" s="20"/>
      <c r="P5" s="22"/>
      <c r="T5" s="49"/>
    </row>
    <row r="6" spans="2:58" x14ac:dyDescent="0.25">
      <c r="B6" s="19"/>
      <c r="C6" s="83"/>
      <c r="D6" s="83"/>
      <c r="E6" s="83"/>
      <c r="F6" s="92"/>
      <c r="G6" s="92"/>
      <c r="H6" s="92"/>
      <c r="I6" s="92"/>
      <c r="J6" s="93"/>
      <c r="K6" s="1" t="s">
        <v>8</v>
      </c>
      <c r="L6" s="86" t="s">
        <v>9</v>
      </c>
      <c r="M6" s="87"/>
      <c r="N6" s="20"/>
      <c r="T6" s="49"/>
    </row>
    <row r="7" spans="2:58" ht="6.75" customHeight="1" x14ac:dyDescent="0.25">
      <c r="B7" s="1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20"/>
    </row>
    <row r="8" spans="2:58" ht="6.75" customHeight="1" x14ac:dyDescent="0.25">
      <c r="B8" s="19"/>
      <c r="C8" s="30"/>
      <c r="D8" s="30"/>
      <c r="E8" s="30"/>
      <c r="F8" s="30"/>
      <c r="G8" s="30"/>
      <c r="H8" s="30"/>
      <c r="I8" s="100" t="s">
        <v>10</v>
      </c>
      <c r="J8" s="100"/>
      <c r="K8" s="101" t="str">
        <f>MID(S4,4,255)</f>
        <v>54047</v>
      </c>
      <c r="L8" s="101"/>
      <c r="M8" s="99"/>
      <c r="N8" s="20"/>
    </row>
    <row r="9" spans="2:58" ht="13.5" customHeight="1" x14ac:dyDescent="0.25">
      <c r="B9" s="19"/>
      <c r="C9" s="30"/>
      <c r="D9" s="30"/>
      <c r="E9" s="30"/>
      <c r="F9" s="30"/>
      <c r="G9" s="30"/>
      <c r="H9" s="30"/>
      <c r="I9" s="100"/>
      <c r="J9" s="100"/>
      <c r="K9" s="101"/>
      <c r="L9" s="101"/>
      <c r="M9" s="99"/>
      <c r="N9" s="20"/>
    </row>
    <row r="10" spans="2:58" ht="8.25" customHeight="1" x14ac:dyDescent="0.25">
      <c r="B10" s="1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20"/>
    </row>
    <row r="11" spans="2:58" x14ac:dyDescent="0.25">
      <c r="B11" s="19"/>
      <c r="C11" s="30" t="s">
        <v>75</v>
      </c>
      <c r="D11" s="103">
        <f>X4</f>
        <v>16</v>
      </c>
      <c r="E11" s="104"/>
      <c r="F11" s="30" t="s">
        <v>76</v>
      </c>
      <c r="G11" s="30"/>
      <c r="H11" s="105">
        <f>W4</f>
        <v>45909</v>
      </c>
      <c r="I11" s="105"/>
      <c r="J11" s="30" t="s">
        <v>44</v>
      </c>
      <c r="K11" s="30"/>
      <c r="L11" s="30"/>
      <c r="M11" s="30"/>
      <c r="N11" s="20"/>
    </row>
    <row r="12" spans="2:58" ht="2.25" customHeight="1" x14ac:dyDescent="0.25">
      <c r="B12" s="19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20"/>
    </row>
    <row r="13" spans="2:58" x14ac:dyDescent="0.25">
      <c r="B13" s="19"/>
      <c r="C13" s="30" t="s">
        <v>11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20"/>
    </row>
    <row r="14" spans="2:58" ht="3" customHeight="1" x14ac:dyDescent="0.25">
      <c r="B14" s="1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20"/>
    </row>
    <row r="15" spans="2:58" x14ac:dyDescent="0.25">
      <c r="B15" s="19"/>
      <c r="C15" s="30" t="s">
        <v>12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20"/>
    </row>
    <row r="16" spans="2:58" ht="7.5" customHeight="1" x14ac:dyDescent="0.25">
      <c r="B16" s="1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0"/>
    </row>
    <row r="17" spans="2:17" ht="4.5" customHeight="1" x14ac:dyDescent="0.25">
      <c r="B17" s="1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0"/>
    </row>
    <row r="18" spans="2:17" ht="18.75" customHeight="1" x14ac:dyDescent="0.25">
      <c r="B18" s="19"/>
      <c r="C18" s="95" t="s">
        <v>13</v>
      </c>
      <c r="D18" s="96"/>
      <c r="E18" s="96"/>
      <c r="F18" s="96" t="str">
        <f>+AB4</f>
        <v>EPS SEDAPAL</v>
      </c>
      <c r="G18" s="96"/>
      <c r="H18" s="96"/>
      <c r="I18" s="96"/>
      <c r="J18" s="96"/>
      <c r="K18" s="96"/>
      <c r="L18" s="96"/>
      <c r="M18" s="106"/>
      <c r="N18" s="20"/>
    </row>
    <row r="19" spans="2:17" ht="6.75" customHeight="1" x14ac:dyDescent="0.25">
      <c r="B19" s="1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20"/>
    </row>
    <row r="20" spans="2:17" ht="19.5" customHeight="1" x14ac:dyDescent="0.25">
      <c r="B20" s="19"/>
      <c r="C20" s="95" t="s">
        <v>15</v>
      </c>
      <c r="D20" s="96"/>
      <c r="E20" s="96"/>
      <c r="F20" s="96" t="str">
        <f>+AC4</f>
        <v>Equipo Comercial Ate</v>
      </c>
      <c r="G20" s="96"/>
      <c r="H20" s="96"/>
      <c r="I20" s="96"/>
      <c r="J20" s="96"/>
      <c r="K20" s="97" t="str">
        <f>IF(V4="Oficio",AD4&amp;" - Oficio",IF(V4="Reclamo",AD4&amp;" - Reclamo",""))</f>
        <v>Remesa 1052 - Reclamo</v>
      </c>
      <c r="L20" s="97"/>
      <c r="M20" s="98"/>
      <c r="N20" s="20"/>
    </row>
    <row r="21" spans="2:17" ht="10.5" customHeight="1" x14ac:dyDescent="0.25">
      <c r="B21" s="19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20"/>
      <c r="Q21" s="34"/>
    </row>
    <row r="22" spans="2:17" x14ac:dyDescent="0.25">
      <c r="B22" s="19"/>
      <c r="C22" s="31" t="s">
        <v>16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20"/>
    </row>
    <row r="23" spans="2:17" ht="9" customHeight="1" x14ac:dyDescent="0.25">
      <c r="B23" s="1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20"/>
    </row>
    <row r="24" spans="2:17" ht="19.5" customHeight="1" x14ac:dyDescent="0.25">
      <c r="B24" s="19"/>
      <c r="C24" s="3" t="s">
        <v>17</v>
      </c>
      <c r="D24" s="32" t="s">
        <v>18</v>
      </c>
      <c r="E24" s="32"/>
      <c r="F24" s="32"/>
      <c r="G24" s="32"/>
      <c r="H24" s="4"/>
      <c r="I24" s="32" t="s">
        <v>19</v>
      </c>
      <c r="J24" s="30"/>
      <c r="K24" s="30"/>
      <c r="L24" s="30"/>
      <c r="M24" s="30"/>
      <c r="N24" s="20"/>
    </row>
    <row r="25" spans="2:17" ht="8.25" customHeight="1" x14ac:dyDescent="0.25">
      <c r="B25" s="1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20"/>
    </row>
    <row r="26" spans="2:17" x14ac:dyDescent="0.25">
      <c r="B26" s="19"/>
      <c r="C26" s="31" t="s">
        <v>20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20"/>
    </row>
    <row r="27" spans="2:17" ht="10.5" customHeight="1" x14ac:dyDescent="0.25">
      <c r="B27" s="1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20"/>
    </row>
    <row r="28" spans="2:17" ht="18.75" customHeight="1" x14ac:dyDescent="0.25">
      <c r="B28" s="19"/>
      <c r="C28" s="5" t="s">
        <v>21</v>
      </c>
      <c r="D28" s="23" t="str">
        <f>+AE4</f>
        <v>AMPARO SOLEDAD CUEVA ZAVELETA</v>
      </c>
      <c r="E28" s="6"/>
      <c r="F28" s="7"/>
      <c r="G28" s="7"/>
      <c r="H28" s="7"/>
      <c r="I28" s="7"/>
      <c r="J28" s="7"/>
      <c r="K28" s="7"/>
      <c r="L28" s="7"/>
      <c r="M28" s="8"/>
      <c r="N28" s="20"/>
    </row>
    <row r="29" spans="2:17" ht="4.5" customHeight="1" x14ac:dyDescent="0.25">
      <c r="B29" s="19"/>
      <c r="C29" s="32"/>
      <c r="D29" s="32"/>
      <c r="E29" s="33"/>
      <c r="F29" s="30"/>
      <c r="G29" s="30"/>
      <c r="H29" s="30"/>
      <c r="I29" s="30"/>
      <c r="J29" s="30"/>
      <c r="K29" s="30"/>
      <c r="L29" s="30"/>
      <c r="M29" s="30"/>
      <c r="N29" s="20"/>
    </row>
    <row r="30" spans="2:17" ht="21" customHeight="1" x14ac:dyDescent="0.25">
      <c r="B30" s="19"/>
      <c r="C30" s="5" t="s">
        <v>22</v>
      </c>
      <c r="D30" s="24" t="str">
        <f>+AF4</f>
        <v>CA 11/0/10/08/10-08     /ASOC CIENEGUILLA 3RA ETAPA/CIENEGUILLA</v>
      </c>
      <c r="E30" s="6"/>
      <c r="F30" s="7"/>
      <c r="G30" s="7"/>
      <c r="H30" s="7"/>
      <c r="I30" s="7"/>
      <c r="J30" s="7"/>
      <c r="K30" s="7"/>
      <c r="L30" s="7"/>
      <c r="M30" s="8"/>
      <c r="N30" s="20"/>
    </row>
    <row r="31" spans="2:17" ht="5.25" customHeight="1" x14ac:dyDescent="0.25">
      <c r="B31" s="19"/>
      <c r="C31" s="32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20"/>
    </row>
    <row r="32" spans="2:17" ht="21" customHeight="1" x14ac:dyDescent="0.25">
      <c r="B32" s="19"/>
      <c r="C32" s="95" t="s">
        <v>23</v>
      </c>
      <c r="D32" s="96"/>
      <c r="E32" s="25">
        <f>+AI4</f>
        <v>4163411</v>
      </c>
      <c r="F32" s="7"/>
      <c r="G32" s="7"/>
      <c r="H32" s="7"/>
      <c r="I32" s="7"/>
      <c r="J32" s="7"/>
      <c r="K32" s="7"/>
      <c r="L32" s="7"/>
      <c r="M32" s="8"/>
      <c r="N32" s="20"/>
    </row>
    <row r="33" spans="2:51" x14ac:dyDescent="0.25">
      <c r="B33" s="1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20"/>
    </row>
    <row r="34" spans="2:51" x14ac:dyDescent="0.25">
      <c r="B34" s="19"/>
      <c r="C34" s="31" t="s">
        <v>24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20"/>
    </row>
    <row r="35" spans="2:51" ht="11.25" customHeight="1" x14ac:dyDescent="0.25">
      <c r="B35" s="1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20"/>
    </row>
    <row r="36" spans="2:51" ht="19.5" customHeight="1" x14ac:dyDescent="0.25">
      <c r="B36" s="19"/>
      <c r="C36" s="9" t="str">
        <f>"N° de serie  de medidor: "&amp;AJ4</f>
        <v>N° de serie  de medidor: PB24016316</v>
      </c>
      <c r="D36" s="10"/>
      <c r="E36" s="10"/>
      <c r="F36" s="10"/>
      <c r="G36" s="10"/>
      <c r="H36" s="11"/>
      <c r="I36" s="5" t="str">
        <f>"Tipo: "&amp;AP4</f>
        <v>Tipo: UNICO</v>
      </c>
      <c r="J36" s="7"/>
      <c r="K36" s="7"/>
      <c r="L36" s="7"/>
      <c r="M36" s="8"/>
      <c r="N36" s="20"/>
    </row>
    <row r="37" spans="2:51" ht="19.5" customHeight="1" x14ac:dyDescent="0.25">
      <c r="B37" s="19"/>
      <c r="C37" s="5" t="str">
        <f>"Marca del medidor:  "&amp;AK4</f>
        <v>Marca del medidor:  HONEYWELL</v>
      </c>
      <c r="D37" s="7"/>
      <c r="E37" s="7"/>
      <c r="F37" s="7"/>
      <c r="G37" s="7"/>
      <c r="H37" s="8"/>
      <c r="I37" s="5" t="str">
        <f>"Diámetro nominal (mm): "&amp;AQ4</f>
        <v>Diámetro nominal (mm): 20</v>
      </c>
      <c r="J37" s="7"/>
      <c r="K37" s="7"/>
      <c r="L37" s="7"/>
      <c r="M37" s="8"/>
      <c r="N37" s="20"/>
    </row>
    <row r="38" spans="2:51" ht="19.5" customHeight="1" x14ac:dyDescent="0.25">
      <c r="B38" s="19"/>
      <c r="C38" s="12" t="str">
        <f>"Modelo de medidor: "&amp;AL4&amp;"   Año fabricación: "&amp;AM4</f>
        <v>Modelo de medidor: S220   Año fabricación: 2024</v>
      </c>
      <c r="D38" s="13"/>
      <c r="E38" s="13"/>
      <c r="F38" s="13"/>
      <c r="G38" s="13"/>
      <c r="H38" s="14"/>
      <c r="I38" s="5" t="str">
        <f>"Q3 (m3/h): "&amp;AR4</f>
        <v>Q3 (m3/h): 4</v>
      </c>
      <c r="J38" s="7"/>
      <c r="K38" s="7"/>
      <c r="L38" s="7"/>
      <c r="M38" s="8"/>
      <c r="N38" s="20"/>
    </row>
    <row r="39" spans="2:51" ht="19.5" customHeight="1" x14ac:dyDescent="0.25">
      <c r="B39" s="19"/>
      <c r="C39" s="5" t="str">
        <f>"Fabricante: "&amp;AN4</f>
        <v>Fabricante: HONEYWELL</v>
      </c>
      <c r="D39" s="7"/>
      <c r="E39" s="7"/>
      <c r="F39" s="7"/>
      <c r="G39" s="7"/>
      <c r="H39" s="8"/>
      <c r="I39" s="5" t="str">
        <f>"Alcance (Q3/Q1): "&amp;AS4</f>
        <v>Alcance (Q3/Q1): R160</v>
      </c>
      <c r="J39" s="7"/>
      <c r="K39" s="7"/>
      <c r="L39" s="7"/>
      <c r="M39" s="8"/>
      <c r="N39" s="20"/>
    </row>
    <row r="40" spans="2:51" ht="19.5" customHeight="1" x14ac:dyDescent="0.25">
      <c r="B40" s="19"/>
      <c r="C40" s="9" t="str">
        <f>"Procedencia: "&amp;AO4</f>
        <v>Procedencia: ESPAÑA</v>
      </c>
      <c r="D40" s="10"/>
      <c r="F40" s="10"/>
      <c r="G40" s="10"/>
      <c r="H40" s="11"/>
      <c r="I40" s="5" t="str">
        <f>"PMA (bar): "&amp;AT4&amp;"    TMA (°C):   "&amp;AU4</f>
        <v>PMA (bar): 16    TMA (°C):   30</v>
      </c>
      <c r="J40" s="7"/>
      <c r="K40" s="7"/>
      <c r="L40" s="7"/>
      <c r="M40" s="8"/>
      <c r="N40" s="20"/>
    </row>
    <row r="41" spans="2:51" ht="19.5" customHeight="1" x14ac:dyDescent="0.25">
      <c r="B41" s="19"/>
      <c r="C41" s="5" t="s">
        <v>25</v>
      </c>
      <c r="D41" s="7"/>
      <c r="E41" s="7"/>
      <c r="F41" s="7"/>
      <c r="G41" s="7"/>
      <c r="H41" s="7"/>
      <c r="I41" s="15"/>
      <c r="J41" s="7"/>
      <c r="K41" s="7"/>
      <c r="L41" s="7"/>
      <c r="M41" s="8"/>
      <c r="N41" s="20"/>
    </row>
    <row r="42" spans="2:51" ht="19.5" customHeight="1" x14ac:dyDescent="0.25">
      <c r="B42" s="19"/>
      <c r="C42" s="5" t="s">
        <v>78</v>
      </c>
      <c r="D42" s="7"/>
      <c r="E42" s="7"/>
      <c r="F42" s="7"/>
      <c r="G42" s="7"/>
      <c r="H42" s="7"/>
      <c r="I42" s="15"/>
      <c r="J42" s="36" t="s">
        <v>79</v>
      </c>
      <c r="K42" s="36" t="s">
        <v>29</v>
      </c>
      <c r="L42" s="7"/>
      <c r="M42" s="8"/>
      <c r="N42" s="20"/>
    </row>
    <row r="43" spans="2:51" ht="8.25" customHeight="1" x14ac:dyDescent="0.25">
      <c r="B43" s="19"/>
      <c r="C43" s="32"/>
      <c r="D43" s="30"/>
      <c r="E43" s="30"/>
      <c r="F43" s="30"/>
      <c r="G43" s="30"/>
      <c r="H43" s="30"/>
      <c r="I43" s="32"/>
      <c r="J43" s="30"/>
      <c r="K43" s="30"/>
      <c r="L43" s="30"/>
      <c r="M43" s="30"/>
      <c r="N43" s="20"/>
    </row>
    <row r="44" spans="2:51" x14ac:dyDescent="0.25">
      <c r="B44" s="19"/>
      <c r="C44" s="31" t="s">
        <v>26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20"/>
    </row>
    <row r="45" spans="2:51" ht="7.5" customHeight="1" x14ac:dyDescent="0.25">
      <c r="B45" s="19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20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2:51" s="17" customFormat="1" ht="18.75" customHeight="1" x14ac:dyDescent="0.25">
      <c r="B46" s="37"/>
      <c r="C46" s="5" t="s">
        <v>27</v>
      </c>
      <c r="D46" s="15"/>
      <c r="E46" s="15"/>
      <c r="F46" s="15"/>
      <c r="G46" s="15"/>
      <c r="H46" s="15"/>
      <c r="I46" s="15" t="s">
        <v>28</v>
      </c>
      <c r="J46" s="15"/>
      <c r="K46" s="15" t="s">
        <v>29</v>
      </c>
      <c r="L46" s="16"/>
      <c r="M46" s="32"/>
      <c r="N46" s="38"/>
    </row>
    <row r="47" spans="2:51" s="17" customFormat="1" ht="18.75" customHeight="1" x14ac:dyDescent="0.25">
      <c r="B47" s="37"/>
      <c r="C47" s="5" t="s">
        <v>30</v>
      </c>
      <c r="D47" s="15"/>
      <c r="E47" s="15"/>
      <c r="F47" s="15"/>
      <c r="G47" s="15"/>
      <c r="H47" s="15"/>
      <c r="I47" s="15" t="s">
        <v>28</v>
      </c>
      <c r="J47" s="15"/>
      <c r="K47" s="15" t="s">
        <v>29</v>
      </c>
      <c r="L47" s="16"/>
      <c r="M47" s="32"/>
      <c r="N47" s="38"/>
    </row>
    <row r="48" spans="2:51" s="17" customFormat="1" ht="18.75" customHeight="1" x14ac:dyDescent="0.25">
      <c r="B48" s="37"/>
      <c r="C48" s="5" t="s">
        <v>31</v>
      </c>
      <c r="D48" s="15"/>
      <c r="E48" s="15"/>
      <c r="F48" s="15"/>
      <c r="G48" s="15"/>
      <c r="H48" s="15"/>
      <c r="I48" s="15" t="s">
        <v>28</v>
      </c>
      <c r="J48" s="15"/>
      <c r="K48" s="15" t="s">
        <v>29</v>
      </c>
      <c r="L48" s="16"/>
      <c r="M48" s="32"/>
      <c r="N48" s="3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2:29" ht="8.25" customHeight="1" x14ac:dyDescent="0.25">
      <c r="B49" s="19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20"/>
    </row>
    <row r="50" spans="2:29" x14ac:dyDescent="0.25">
      <c r="B50" s="19"/>
      <c r="C50" s="31" t="s">
        <v>32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20"/>
    </row>
    <row r="51" spans="2:29" ht="7.5" customHeight="1" x14ac:dyDescent="0.25">
      <c r="B51" s="1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20"/>
    </row>
    <row r="52" spans="2:29" ht="17.25" customHeight="1" x14ac:dyDescent="0.25">
      <c r="B52" s="19"/>
      <c r="C52" s="5" t="s">
        <v>33</v>
      </c>
      <c r="D52" s="15"/>
      <c r="E52" s="15"/>
      <c r="F52" s="15"/>
      <c r="G52" s="15"/>
      <c r="H52" s="15"/>
      <c r="I52" s="15" t="s">
        <v>28</v>
      </c>
      <c r="J52" s="15"/>
      <c r="K52" s="15" t="s">
        <v>29</v>
      </c>
      <c r="L52" s="16"/>
      <c r="M52" s="30"/>
      <c r="N52" s="20"/>
    </row>
    <row r="53" spans="2:29" ht="17.25" customHeight="1" x14ac:dyDescent="0.25">
      <c r="B53" s="19"/>
      <c r="C53" s="5" t="s">
        <v>34</v>
      </c>
      <c r="D53" s="15"/>
      <c r="E53" s="15"/>
      <c r="F53" s="15"/>
      <c r="G53" s="15"/>
      <c r="H53" s="15"/>
      <c r="I53" s="15" t="s">
        <v>28</v>
      </c>
      <c r="J53" s="15"/>
      <c r="K53" s="15" t="s">
        <v>29</v>
      </c>
      <c r="L53" s="16"/>
      <c r="M53" s="30"/>
      <c r="N53" s="20"/>
    </row>
    <row r="54" spans="2:29" ht="17.25" customHeight="1" x14ac:dyDescent="0.25">
      <c r="B54" s="19"/>
      <c r="C54" s="5" t="s">
        <v>35</v>
      </c>
      <c r="D54" s="15"/>
      <c r="E54" s="15"/>
      <c r="F54" s="15"/>
      <c r="G54" s="15"/>
      <c r="H54" s="15"/>
      <c r="I54" s="15" t="s">
        <v>28</v>
      </c>
      <c r="J54" s="15"/>
      <c r="K54" s="15" t="s">
        <v>29</v>
      </c>
      <c r="L54" s="16"/>
      <c r="M54" s="30"/>
      <c r="N54" s="20"/>
    </row>
    <row r="55" spans="2:29" ht="9" customHeight="1" x14ac:dyDescent="0.25">
      <c r="B55" s="19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20"/>
    </row>
    <row r="56" spans="2:29" x14ac:dyDescent="0.25">
      <c r="B56" s="19"/>
      <c r="C56" s="31" t="s">
        <v>36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20"/>
    </row>
    <row r="57" spans="2:29" ht="10.5" customHeight="1" x14ac:dyDescent="0.25">
      <c r="B57" s="19"/>
      <c r="C57" s="107" t="str">
        <f>BC4</f>
        <v>REINSTALAR EPS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9"/>
      <c r="N57" s="20"/>
    </row>
    <row r="58" spans="2:29" x14ac:dyDescent="0.25">
      <c r="B58" s="19"/>
      <c r="C58" s="110"/>
      <c r="D58" s="111"/>
      <c r="E58" s="111"/>
      <c r="F58" s="111"/>
      <c r="G58" s="111"/>
      <c r="H58" s="111"/>
      <c r="I58" s="111"/>
      <c r="J58" s="111"/>
      <c r="K58" s="111"/>
      <c r="L58" s="111"/>
      <c r="M58" s="112"/>
      <c r="N58" s="20"/>
    </row>
    <row r="59" spans="2:29" ht="8.25" customHeight="1" x14ac:dyDescent="0.25">
      <c r="B59" s="19"/>
      <c r="C59" s="113"/>
      <c r="D59" s="114"/>
      <c r="E59" s="114"/>
      <c r="F59" s="114"/>
      <c r="G59" s="114"/>
      <c r="H59" s="114"/>
      <c r="I59" s="114"/>
      <c r="J59" s="114"/>
      <c r="K59" s="114"/>
      <c r="L59" s="114"/>
      <c r="M59" s="115"/>
      <c r="N59" s="20"/>
    </row>
    <row r="60" spans="2:29" ht="9.75" customHeight="1" x14ac:dyDescent="0.25">
      <c r="B60" s="1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20"/>
    </row>
    <row r="61" spans="2:29" x14ac:dyDescent="0.25">
      <c r="B61" s="19"/>
      <c r="C61" s="31" t="s">
        <v>37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20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</row>
    <row r="62" spans="2:29" ht="12.75" customHeight="1" x14ac:dyDescent="0.25">
      <c r="B62" s="19"/>
      <c r="C62" s="18" t="s">
        <v>38</v>
      </c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20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</row>
    <row r="63" spans="2:29" ht="22.5" customHeight="1" x14ac:dyDescent="0.25">
      <c r="B63" s="19"/>
      <c r="C63" s="116"/>
      <c r="D63" s="99"/>
      <c r="E63" s="99"/>
      <c r="F63" s="99"/>
      <c r="G63" s="99"/>
      <c r="H63" s="99"/>
      <c r="I63" s="99"/>
      <c r="J63" s="99"/>
      <c r="K63" s="99"/>
      <c r="L63" s="99"/>
      <c r="M63" s="117"/>
      <c r="N63" s="20"/>
      <c r="Q63" s="28"/>
      <c r="R63" s="28"/>
    </row>
    <row r="64" spans="2:29" ht="14.25" customHeight="1" x14ac:dyDescent="0.25">
      <c r="B64" s="19"/>
      <c r="C64" s="118"/>
      <c r="D64" s="119"/>
      <c r="E64" s="119"/>
      <c r="F64" s="119"/>
      <c r="G64" s="119"/>
      <c r="H64" s="119"/>
      <c r="I64" s="119"/>
      <c r="J64" s="119"/>
      <c r="K64" s="119"/>
      <c r="L64" s="119"/>
      <c r="M64" s="120"/>
      <c r="N64" s="20"/>
    </row>
    <row r="65" spans="2:16" ht="51.75" customHeight="1" x14ac:dyDescent="0.25">
      <c r="B65" s="1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20"/>
    </row>
    <row r="66" spans="2:16" x14ac:dyDescent="0.25">
      <c r="B66" s="19"/>
      <c r="C66" s="10" t="s">
        <v>39</v>
      </c>
      <c r="D66" s="10"/>
      <c r="E66" s="30"/>
      <c r="F66" s="10" t="s">
        <v>40</v>
      </c>
      <c r="G66" s="10"/>
      <c r="H66" s="10"/>
      <c r="I66" s="10"/>
      <c r="J66" s="30"/>
      <c r="K66" s="10" t="s">
        <v>41</v>
      </c>
      <c r="L66" s="10"/>
      <c r="M66" s="10"/>
      <c r="N66" s="20"/>
    </row>
    <row r="67" spans="2:16" x14ac:dyDescent="0.25">
      <c r="B67" s="19"/>
      <c r="C67" s="30" t="s">
        <v>21</v>
      </c>
      <c r="D67" s="30"/>
      <c r="E67" s="30"/>
      <c r="F67" s="30" t="s">
        <v>21</v>
      </c>
      <c r="G67" s="30"/>
      <c r="H67" s="30"/>
      <c r="I67" s="30"/>
      <c r="J67" s="30"/>
      <c r="K67" s="30" t="s">
        <v>21</v>
      </c>
      <c r="L67" s="30"/>
      <c r="M67" s="30"/>
      <c r="N67" s="20"/>
    </row>
    <row r="68" spans="2:16" x14ac:dyDescent="0.25">
      <c r="B68" s="19"/>
      <c r="C68" s="30" t="s">
        <v>42</v>
      </c>
      <c r="D68" s="30"/>
      <c r="E68" s="30"/>
      <c r="F68" s="30" t="s">
        <v>42</v>
      </c>
      <c r="G68" s="30"/>
      <c r="H68" s="30"/>
      <c r="I68" s="30"/>
      <c r="J68" s="30"/>
      <c r="K68" s="30" t="s">
        <v>42</v>
      </c>
      <c r="L68" s="30"/>
      <c r="M68" s="30"/>
      <c r="N68" s="20"/>
    </row>
    <row r="69" spans="2:16" ht="14.25" customHeight="1" x14ac:dyDescent="0.25">
      <c r="B69" s="1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20"/>
    </row>
    <row r="70" spans="2:16" ht="14.25" customHeight="1" x14ac:dyDescent="0.25">
      <c r="B70" s="39"/>
      <c r="C70" s="35" t="str">
        <f>"CUS:"&amp;AG4</f>
        <v>CUS:159516130</v>
      </c>
      <c r="D70" s="29"/>
      <c r="F70" s="29"/>
      <c r="G70" s="29"/>
      <c r="H70" s="29"/>
      <c r="I70" s="29"/>
      <c r="J70" s="29"/>
      <c r="K70" s="29"/>
      <c r="L70" s="29"/>
      <c r="M70" s="29"/>
      <c r="N70" s="40"/>
      <c r="O70" s="29"/>
      <c r="P70" s="29"/>
    </row>
    <row r="71" spans="2:16" ht="14.25" customHeight="1" x14ac:dyDescent="0.25">
      <c r="B71" s="39"/>
      <c r="C71" s="35" t="str">
        <f>"CUP:"&amp;AH4</f>
        <v>CUP:40008330130</v>
      </c>
      <c r="D71" s="29"/>
      <c r="E71" s="81" t="s">
        <v>104</v>
      </c>
      <c r="F71" s="29"/>
      <c r="G71" s="29"/>
      <c r="H71" s="29"/>
      <c r="I71" s="29"/>
      <c r="J71" s="29"/>
      <c r="K71" s="29"/>
      <c r="L71" s="29"/>
      <c r="M71" s="29"/>
      <c r="N71" s="40"/>
      <c r="O71" s="29"/>
      <c r="P71" s="29"/>
    </row>
    <row r="72" spans="2:16" x14ac:dyDescent="0.25">
      <c r="B72" s="21"/>
      <c r="C72" s="4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42" t="str">
        <f>K8</f>
        <v>54047</v>
      </c>
    </row>
  </sheetData>
  <protectedRanges>
    <protectedRange algorithmName="SHA-512" hashValue="A80YXKDWlhcdYQ/P2aYcoX3USyfl83MCg+iInzEB16yr+KEPvqwOlvogLqzAwrcQObx/qR5HDo2dIsXz+222AA==" saltValue="lkC9BidwrGzDJzAVJefzeg==" spinCount="100000" sqref="AA4" name="Milagros_1_4"/>
  </protectedRanges>
  <mergeCells count="20">
    <mergeCell ref="C3:E6"/>
    <mergeCell ref="F3:J3"/>
    <mergeCell ref="L3:M3"/>
    <mergeCell ref="F4:J6"/>
    <mergeCell ref="L4:M4"/>
    <mergeCell ref="L5:M5"/>
    <mergeCell ref="L6:M6"/>
    <mergeCell ref="C57:M59"/>
    <mergeCell ref="C63:M64"/>
    <mergeCell ref="I8:J9"/>
    <mergeCell ref="K8:L9"/>
    <mergeCell ref="D11:E11"/>
    <mergeCell ref="H11:I11"/>
    <mergeCell ref="C18:E18"/>
    <mergeCell ref="F18:M18"/>
    <mergeCell ref="C20:E20"/>
    <mergeCell ref="F20:J20"/>
    <mergeCell ref="K20:M20"/>
    <mergeCell ref="C32:D32"/>
    <mergeCell ref="M8:M9"/>
  </mergeCells>
  <conditionalFormatting sqref="X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/>
  <pageMargins left="0" right="0" top="0" bottom="0" header="0" footer="0"/>
  <pageSetup paperSize="9" scale="1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4FE0-F252-4A70-B1EF-CA051A8DFF62}">
  <sheetPr codeName="Hoja1">
    <tabColor rgb="FFFFC000"/>
    <pageSetUpPr fitToPage="1"/>
  </sheetPr>
  <dimension ref="B2:BF72"/>
  <sheetViews>
    <sheetView showGridLines="0" view="pageBreakPreview" zoomScale="70" zoomScaleNormal="100" zoomScaleSheetLayoutView="70" workbookViewId="0">
      <selection activeCell="R4" sqref="R4:BF4"/>
    </sheetView>
  </sheetViews>
  <sheetFormatPr baseColWidth="10" defaultColWidth="9.140625" defaultRowHeight="15" x14ac:dyDescent="0.25"/>
  <cols>
    <col min="1" max="1" width="4.85546875" customWidth="1"/>
    <col min="2" max="2" width="6.42578125" customWidth="1"/>
    <col min="3" max="3" width="10.28515625" customWidth="1"/>
    <col min="5" max="5" width="11.42578125" customWidth="1"/>
    <col min="7" max="7" width="6.7109375" customWidth="1"/>
    <col min="8" max="8" width="10.42578125" customWidth="1"/>
    <col min="11" max="11" width="10.7109375" customWidth="1"/>
    <col min="13" max="13" width="12.140625" customWidth="1"/>
    <col min="14" max="14" width="6.42578125" customWidth="1"/>
    <col min="17" max="17" width="16.42578125" bestFit="1" customWidth="1"/>
    <col min="18" max="18" width="13.28515625" customWidth="1"/>
    <col min="19" max="19" width="27.28515625" bestFit="1" customWidth="1"/>
    <col min="20" max="20" width="14.85546875" bestFit="1" customWidth="1"/>
    <col min="21" max="21" width="22.7109375" bestFit="1" customWidth="1"/>
    <col min="22" max="22" width="24.28515625" bestFit="1" customWidth="1"/>
    <col min="23" max="23" width="19.7109375" bestFit="1" customWidth="1"/>
    <col min="24" max="24" width="21.140625" bestFit="1" customWidth="1"/>
    <col min="25" max="25" width="21.42578125" customWidth="1"/>
    <col min="26" max="26" width="18.7109375" customWidth="1"/>
    <col min="27" max="27" width="26.42578125" customWidth="1"/>
    <col min="28" max="28" width="18.5703125" customWidth="1"/>
    <col min="29" max="29" width="28.28515625" customWidth="1"/>
    <col min="30" max="30" width="62.28515625" bestFit="1" customWidth="1"/>
    <col min="31" max="31" width="12.5703125" customWidth="1"/>
    <col min="32" max="32" width="16" bestFit="1" customWidth="1"/>
    <col min="33" max="33" width="12.42578125" bestFit="1" customWidth="1"/>
    <col min="34" max="34" width="12.42578125" customWidth="1"/>
    <col min="35" max="35" width="25" bestFit="1" customWidth="1"/>
    <col min="37" max="37" width="16.7109375" customWidth="1"/>
    <col min="38" max="38" width="18.5703125" customWidth="1"/>
    <col min="39" max="39" width="10.5703125" customWidth="1"/>
    <col min="47" max="47" width="18.28515625" customWidth="1"/>
    <col min="48" max="48" width="16.5703125" customWidth="1"/>
  </cols>
  <sheetData>
    <row r="2" spans="2:58" ht="15.75" thickBot="1" x14ac:dyDescent="0.3">
      <c r="B2" s="18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2:58" ht="15.75" thickBot="1" x14ac:dyDescent="0.3">
      <c r="B3" s="19"/>
      <c r="C3" s="83"/>
      <c r="D3" s="83"/>
      <c r="E3" s="83"/>
      <c r="F3" s="84" t="s">
        <v>0</v>
      </c>
      <c r="G3" s="84"/>
      <c r="H3" s="84"/>
      <c r="I3" s="84"/>
      <c r="J3" s="85"/>
      <c r="K3" s="1" t="s">
        <v>1</v>
      </c>
      <c r="L3" s="86" t="s">
        <v>2</v>
      </c>
      <c r="M3" s="87"/>
      <c r="N3" s="20"/>
      <c r="R3" s="26" t="s">
        <v>43</v>
      </c>
      <c r="S3" s="27" t="s">
        <v>45</v>
      </c>
      <c r="T3" s="27" t="s">
        <v>46</v>
      </c>
      <c r="U3" s="27" t="s">
        <v>47</v>
      </c>
      <c r="V3" s="27" t="s">
        <v>48</v>
      </c>
      <c r="W3" s="27" t="s">
        <v>49</v>
      </c>
      <c r="X3" s="27" t="s">
        <v>50</v>
      </c>
      <c r="Y3" s="27" t="s">
        <v>51</v>
      </c>
      <c r="Z3" s="27" t="s">
        <v>52</v>
      </c>
      <c r="AA3" s="27" t="s">
        <v>53</v>
      </c>
      <c r="AB3" s="27" t="s">
        <v>54</v>
      </c>
      <c r="AC3" s="27" t="s">
        <v>55</v>
      </c>
      <c r="AD3" s="27" t="s">
        <v>56</v>
      </c>
      <c r="AE3" s="27" t="s">
        <v>57</v>
      </c>
      <c r="AF3" s="27" t="s">
        <v>58</v>
      </c>
      <c r="AG3" s="27" t="s">
        <v>59</v>
      </c>
      <c r="AH3" s="27" t="s">
        <v>80</v>
      </c>
      <c r="AI3" s="27" t="s">
        <v>60</v>
      </c>
      <c r="AJ3" s="27" t="s">
        <v>61</v>
      </c>
      <c r="AK3" s="27" t="s">
        <v>62</v>
      </c>
      <c r="AL3" s="27" t="s">
        <v>63</v>
      </c>
      <c r="AM3" s="27" t="s">
        <v>64</v>
      </c>
      <c r="AN3" s="27" t="s">
        <v>65</v>
      </c>
      <c r="AO3" s="27" t="s">
        <v>66</v>
      </c>
      <c r="AP3" s="27" t="s">
        <v>67</v>
      </c>
      <c r="AQ3" s="27" t="s">
        <v>68</v>
      </c>
      <c r="AR3" s="27" t="s">
        <v>69</v>
      </c>
      <c r="AS3" s="27" t="s">
        <v>70</v>
      </c>
      <c r="AT3" s="27" t="s">
        <v>71</v>
      </c>
      <c r="AU3" s="27" t="s">
        <v>72</v>
      </c>
      <c r="AV3" s="27" t="s">
        <v>73</v>
      </c>
      <c r="AW3" s="27" t="s">
        <v>74</v>
      </c>
    </row>
    <row r="4" spans="2:58" ht="14.45" customHeight="1" x14ac:dyDescent="0.25">
      <c r="B4" s="19"/>
      <c r="C4" s="83"/>
      <c r="D4" s="83"/>
      <c r="E4" s="83"/>
      <c r="F4" s="88" t="s">
        <v>3</v>
      </c>
      <c r="G4" s="88"/>
      <c r="H4" s="88"/>
      <c r="I4" s="88"/>
      <c r="J4" s="89"/>
      <c r="K4" s="1" t="s">
        <v>4</v>
      </c>
      <c r="L4" s="94" t="s">
        <v>5</v>
      </c>
      <c r="M4" s="87"/>
      <c r="N4" s="20"/>
      <c r="R4" s="61"/>
      <c r="S4" s="53" t="s">
        <v>124</v>
      </c>
      <c r="T4" s="58">
        <v>45953</v>
      </c>
      <c r="U4" s="43">
        <v>1</v>
      </c>
      <c r="V4" s="54" t="s">
        <v>122</v>
      </c>
      <c r="W4" s="54">
        <v>45972</v>
      </c>
      <c r="X4" s="48">
        <v>15</v>
      </c>
      <c r="Y4" s="54">
        <v>45973</v>
      </c>
      <c r="Z4" s="48">
        <v>8</v>
      </c>
      <c r="AA4" s="43" t="s">
        <v>125</v>
      </c>
      <c r="AB4" s="43" t="s">
        <v>14</v>
      </c>
      <c r="AC4" s="43" t="s">
        <v>101</v>
      </c>
      <c r="AD4" s="43" t="s">
        <v>126</v>
      </c>
      <c r="AE4" s="59" t="s">
        <v>127</v>
      </c>
      <c r="AF4" s="59" t="s">
        <v>128</v>
      </c>
      <c r="AG4" s="52">
        <v>0</v>
      </c>
      <c r="AH4" s="52">
        <v>8006480080</v>
      </c>
      <c r="AI4" s="62">
        <v>5581842</v>
      </c>
      <c r="AJ4" s="43" t="s">
        <v>129</v>
      </c>
      <c r="AK4" s="52" t="s">
        <v>130</v>
      </c>
      <c r="AL4" s="52" t="s">
        <v>131</v>
      </c>
      <c r="AM4" s="52">
        <v>2012</v>
      </c>
      <c r="AN4" s="43" t="s">
        <v>130</v>
      </c>
      <c r="AO4" s="43" t="s">
        <v>132</v>
      </c>
      <c r="AP4" s="43" t="s">
        <v>99</v>
      </c>
      <c r="AQ4" s="43">
        <v>15</v>
      </c>
      <c r="AR4" s="46">
        <v>1.5</v>
      </c>
      <c r="AS4" s="43" t="s">
        <v>110</v>
      </c>
      <c r="AT4" s="47">
        <v>10</v>
      </c>
      <c r="AU4" s="47">
        <v>30</v>
      </c>
      <c r="AV4" s="47" t="s">
        <v>82</v>
      </c>
      <c r="AW4" s="53" t="s">
        <v>133</v>
      </c>
      <c r="AX4" s="43" t="e">
        <v>#VALUE!</v>
      </c>
      <c r="AY4" s="43">
        <v>4652</v>
      </c>
      <c r="AZ4" s="43">
        <v>4652</v>
      </c>
      <c r="BA4" s="43" t="s">
        <v>94</v>
      </c>
      <c r="BB4" s="43" t="s">
        <v>134</v>
      </c>
      <c r="BC4" s="43" t="s">
        <v>93</v>
      </c>
      <c r="BD4" s="50">
        <v>45974</v>
      </c>
      <c r="BE4" s="51">
        <v>16</v>
      </c>
      <c r="BF4" s="57" t="s">
        <v>91</v>
      </c>
    </row>
    <row r="5" spans="2:58" x14ac:dyDescent="0.25">
      <c r="B5" s="19"/>
      <c r="C5" s="83"/>
      <c r="D5" s="83"/>
      <c r="E5" s="83"/>
      <c r="F5" s="90"/>
      <c r="G5" s="90"/>
      <c r="H5" s="90"/>
      <c r="I5" s="90"/>
      <c r="J5" s="91"/>
      <c r="K5" s="2" t="s">
        <v>6</v>
      </c>
      <c r="L5" s="94" t="s">
        <v>7</v>
      </c>
      <c r="M5" s="87"/>
      <c r="N5" s="20"/>
      <c r="P5" s="22"/>
      <c r="T5" s="49"/>
    </row>
    <row r="6" spans="2:58" x14ac:dyDescent="0.25">
      <c r="B6" s="19"/>
      <c r="C6" s="83"/>
      <c r="D6" s="83"/>
      <c r="E6" s="83"/>
      <c r="F6" s="92"/>
      <c r="G6" s="92"/>
      <c r="H6" s="92"/>
      <c r="I6" s="92"/>
      <c r="J6" s="93"/>
      <c r="K6" s="1" t="s">
        <v>8</v>
      </c>
      <c r="L6" s="86" t="s">
        <v>9</v>
      </c>
      <c r="M6" s="87"/>
      <c r="N6" s="20"/>
      <c r="T6" s="49"/>
    </row>
    <row r="7" spans="2:58" ht="6.75" customHeight="1" x14ac:dyDescent="0.25">
      <c r="B7" s="1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20"/>
    </row>
    <row r="8" spans="2:58" ht="6.75" customHeight="1" x14ac:dyDescent="0.25">
      <c r="B8" s="19"/>
      <c r="C8" s="30"/>
      <c r="D8" s="30"/>
      <c r="E8" s="30"/>
      <c r="F8" s="30"/>
      <c r="G8" s="30"/>
      <c r="H8" s="30"/>
      <c r="I8" s="100" t="s">
        <v>10</v>
      </c>
      <c r="J8" s="100"/>
      <c r="K8" s="101" t="str">
        <f>MID(S4,4,255)</f>
        <v>74037</v>
      </c>
      <c r="L8" s="101"/>
      <c r="M8" s="99"/>
      <c r="N8" s="20"/>
    </row>
    <row r="9" spans="2:58" ht="13.5" customHeight="1" x14ac:dyDescent="0.25">
      <c r="B9" s="19"/>
      <c r="C9" s="30"/>
      <c r="D9" s="30"/>
      <c r="E9" s="30"/>
      <c r="F9" s="30"/>
      <c r="G9" s="30"/>
      <c r="H9" s="30"/>
      <c r="I9" s="100"/>
      <c r="J9" s="100"/>
      <c r="K9" s="101"/>
      <c r="L9" s="101"/>
      <c r="M9" s="99"/>
      <c r="N9" s="20"/>
    </row>
    <row r="10" spans="2:58" ht="8.25" customHeight="1" x14ac:dyDescent="0.25">
      <c r="B10" s="1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20"/>
    </row>
    <row r="11" spans="2:58" x14ac:dyDescent="0.25">
      <c r="B11" s="19"/>
      <c r="C11" s="30" t="s">
        <v>75</v>
      </c>
      <c r="D11" s="103">
        <f>X4</f>
        <v>15</v>
      </c>
      <c r="E11" s="104"/>
      <c r="F11" s="30" t="s">
        <v>76</v>
      </c>
      <c r="G11" s="30"/>
      <c r="H11" s="105">
        <f>W4</f>
        <v>45972</v>
      </c>
      <c r="I11" s="105"/>
      <c r="J11" s="30" t="s">
        <v>44</v>
      </c>
      <c r="K11" s="30"/>
      <c r="L11" s="30"/>
      <c r="M11" s="30"/>
      <c r="N11" s="20"/>
    </row>
    <row r="12" spans="2:58" ht="2.25" customHeight="1" x14ac:dyDescent="0.25">
      <c r="B12" s="19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20"/>
    </row>
    <row r="13" spans="2:58" x14ac:dyDescent="0.25">
      <c r="B13" s="19"/>
      <c r="C13" s="30" t="s">
        <v>11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20"/>
    </row>
    <row r="14" spans="2:58" ht="3" customHeight="1" x14ac:dyDescent="0.25">
      <c r="B14" s="1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20"/>
    </row>
    <row r="15" spans="2:58" x14ac:dyDescent="0.25">
      <c r="B15" s="19"/>
      <c r="C15" s="30" t="s">
        <v>12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20"/>
    </row>
    <row r="16" spans="2:58" ht="7.5" customHeight="1" x14ac:dyDescent="0.25">
      <c r="B16" s="1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0"/>
    </row>
    <row r="17" spans="2:17" ht="4.5" customHeight="1" x14ac:dyDescent="0.25">
      <c r="B17" s="1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0"/>
    </row>
    <row r="18" spans="2:17" ht="18.75" customHeight="1" x14ac:dyDescent="0.25">
      <c r="B18" s="19"/>
      <c r="C18" s="95" t="s">
        <v>13</v>
      </c>
      <c r="D18" s="96"/>
      <c r="E18" s="96"/>
      <c r="F18" s="96" t="str">
        <f>+AB4</f>
        <v>EPS SEDAPAL</v>
      </c>
      <c r="G18" s="96"/>
      <c r="H18" s="96"/>
      <c r="I18" s="96"/>
      <c r="J18" s="96"/>
      <c r="K18" s="96"/>
      <c r="L18" s="96"/>
      <c r="M18" s="106"/>
      <c r="N18" s="20"/>
    </row>
    <row r="19" spans="2:17" ht="6.75" customHeight="1" x14ac:dyDescent="0.25">
      <c r="B19" s="1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20"/>
    </row>
    <row r="20" spans="2:17" ht="19.5" customHeight="1" x14ac:dyDescent="0.25">
      <c r="B20" s="19"/>
      <c r="C20" s="95" t="s">
        <v>15</v>
      </c>
      <c r="D20" s="96"/>
      <c r="E20" s="96"/>
      <c r="F20" s="96" t="str">
        <f>+AC4</f>
        <v>Equipo Comercial Ate</v>
      </c>
      <c r="G20" s="96"/>
      <c r="H20" s="96"/>
      <c r="I20" s="96"/>
      <c r="J20" s="96"/>
      <c r="K20" s="97" t="str">
        <f>IF(V4="Oficio",AD4&amp;" - Oficio",IF(V4="Reclamo",AD4&amp;" - Reclamo",""))</f>
        <v>Remesa 1072 - Oficio</v>
      </c>
      <c r="L20" s="97"/>
      <c r="M20" s="98"/>
      <c r="N20" s="20"/>
    </row>
    <row r="21" spans="2:17" ht="10.5" customHeight="1" x14ac:dyDescent="0.25">
      <c r="B21" s="19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20"/>
      <c r="Q21" s="34"/>
    </row>
    <row r="22" spans="2:17" x14ac:dyDescent="0.25">
      <c r="B22" s="19"/>
      <c r="C22" s="31" t="s">
        <v>16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20"/>
    </row>
    <row r="23" spans="2:17" ht="9" customHeight="1" x14ac:dyDescent="0.25">
      <c r="B23" s="1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20"/>
    </row>
    <row r="24" spans="2:17" ht="19.5" customHeight="1" x14ac:dyDescent="0.25">
      <c r="B24" s="19"/>
      <c r="C24" s="3" t="s">
        <v>17</v>
      </c>
      <c r="D24" s="32" t="s">
        <v>18</v>
      </c>
      <c r="E24" s="32"/>
      <c r="F24" s="32"/>
      <c r="G24" s="32"/>
      <c r="H24" s="4"/>
      <c r="I24" s="32" t="s">
        <v>19</v>
      </c>
      <c r="J24" s="30"/>
      <c r="K24" s="30"/>
      <c r="L24" s="30"/>
      <c r="M24" s="30"/>
      <c r="N24" s="20"/>
    </row>
    <row r="25" spans="2:17" ht="8.25" customHeight="1" x14ac:dyDescent="0.25">
      <c r="B25" s="1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20"/>
    </row>
    <row r="26" spans="2:17" x14ac:dyDescent="0.25">
      <c r="B26" s="19"/>
      <c r="C26" s="31" t="s">
        <v>20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20"/>
    </row>
    <row r="27" spans="2:17" ht="10.5" customHeight="1" x14ac:dyDescent="0.25">
      <c r="B27" s="1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20"/>
    </row>
    <row r="28" spans="2:17" ht="18.75" customHeight="1" x14ac:dyDescent="0.25">
      <c r="B28" s="19"/>
      <c r="C28" s="5" t="s">
        <v>21</v>
      </c>
      <c r="D28" s="23" t="str">
        <f>+AE4</f>
        <v>JUAN GUILLERMO ALLPACCA CORDERO</v>
      </c>
      <c r="E28" s="6"/>
      <c r="F28" s="7"/>
      <c r="G28" s="7"/>
      <c r="H28" s="7"/>
      <c r="I28" s="7"/>
      <c r="J28" s="7"/>
      <c r="K28" s="7"/>
      <c r="L28" s="7"/>
      <c r="M28" s="8"/>
      <c r="N28" s="20"/>
    </row>
    <row r="29" spans="2:17" ht="4.5" customHeight="1" x14ac:dyDescent="0.25">
      <c r="B29" s="19"/>
      <c r="C29" s="32"/>
      <c r="D29" s="32"/>
      <c r="E29" s="33"/>
      <c r="F29" s="30"/>
      <c r="G29" s="30"/>
      <c r="H29" s="30"/>
      <c r="I29" s="30"/>
      <c r="J29" s="30"/>
      <c r="K29" s="30"/>
      <c r="L29" s="30"/>
      <c r="M29" s="30"/>
      <c r="N29" s="20"/>
    </row>
    <row r="30" spans="2:17" ht="21" customHeight="1" x14ac:dyDescent="0.25">
      <c r="B30" s="19"/>
      <c r="C30" s="5" t="s">
        <v>22</v>
      </c>
      <c r="D30" s="24" t="str">
        <f>+AF4</f>
        <v>PS 4/0/F/21/F-21      /URB CUADRO, EL/CHACLACAYO</v>
      </c>
      <c r="E30" s="6"/>
      <c r="F30" s="7"/>
      <c r="G30" s="7"/>
      <c r="H30" s="7"/>
      <c r="I30" s="7"/>
      <c r="J30" s="7"/>
      <c r="K30" s="7"/>
      <c r="L30" s="7"/>
      <c r="M30" s="8"/>
      <c r="N30" s="20"/>
    </row>
    <row r="31" spans="2:17" ht="5.25" customHeight="1" x14ac:dyDescent="0.25">
      <c r="B31" s="19"/>
      <c r="C31" s="32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20"/>
    </row>
    <row r="32" spans="2:17" ht="21" customHeight="1" x14ac:dyDescent="0.25">
      <c r="B32" s="19"/>
      <c r="C32" s="95" t="s">
        <v>23</v>
      </c>
      <c r="D32" s="96"/>
      <c r="E32" s="25">
        <f>+AI4</f>
        <v>5581842</v>
      </c>
      <c r="F32" s="7"/>
      <c r="G32" s="7"/>
      <c r="H32" s="7"/>
      <c r="I32" s="7"/>
      <c r="J32" s="7"/>
      <c r="K32" s="7"/>
      <c r="L32" s="7"/>
      <c r="M32" s="8"/>
      <c r="N32" s="20"/>
    </row>
    <row r="33" spans="2:51" x14ac:dyDescent="0.25">
      <c r="B33" s="1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20"/>
    </row>
    <row r="34" spans="2:51" x14ac:dyDescent="0.25">
      <c r="B34" s="19"/>
      <c r="C34" s="31" t="s">
        <v>24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20"/>
    </row>
    <row r="35" spans="2:51" ht="11.25" customHeight="1" x14ac:dyDescent="0.25">
      <c r="B35" s="1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20"/>
    </row>
    <row r="36" spans="2:51" ht="19.5" customHeight="1" x14ac:dyDescent="0.25">
      <c r="B36" s="19"/>
      <c r="C36" s="9" t="str">
        <f>"N° de serie  de medidor: "&amp;AJ4</f>
        <v>N° de serie  de medidor: A112558348</v>
      </c>
      <c r="D36" s="10"/>
      <c r="E36" s="10"/>
      <c r="F36" s="10"/>
      <c r="G36" s="10"/>
      <c r="H36" s="11"/>
      <c r="I36" s="5" t="str">
        <f>"Tipo: "&amp;AP4</f>
        <v>Tipo: UNICO</v>
      </c>
      <c r="J36" s="7"/>
      <c r="K36" s="7"/>
      <c r="L36" s="7"/>
      <c r="M36" s="8"/>
      <c r="N36" s="20"/>
    </row>
    <row r="37" spans="2:51" ht="19.5" customHeight="1" x14ac:dyDescent="0.25">
      <c r="B37" s="19"/>
      <c r="C37" s="5" t="str">
        <f>"Marca del medidor:  "&amp;AK4</f>
        <v>Marca del medidor:  ITRON</v>
      </c>
      <c r="D37" s="7"/>
      <c r="E37" s="7"/>
      <c r="F37" s="7"/>
      <c r="G37" s="7"/>
      <c r="H37" s="8"/>
      <c r="I37" s="5" t="str">
        <f>"Diámetro nominal (mm): "&amp;AQ4</f>
        <v>Diámetro nominal (mm): 15</v>
      </c>
      <c r="J37" s="7"/>
      <c r="K37" s="7"/>
      <c r="L37" s="7"/>
      <c r="M37" s="8"/>
      <c r="N37" s="20"/>
    </row>
    <row r="38" spans="2:51" ht="19.5" customHeight="1" x14ac:dyDescent="0.25">
      <c r="B38" s="19"/>
      <c r="C38" s="12" t="str">
        <f>"Modelo de medidor: "&amp;AL4&amp;"   Año fabricación: "&amp;AM4</f>
        <v>Modelo de medidor: UNIMAG TU III   Año fabricación: 2012</v>
      </c>
      <c r="D38" s="13"/>
      <c r="E38" s="13"/>
      <c r="F38" s="13"/>
      <c r="G38" s="13"/>
      <c r="H38" s="14"/>
      <c r="I38" s="5" t="str">
        <f>"Q3 (m3/h): "&amp;AR4</f>
        <v>Q3 (m3/h): 1.5</v>
      </c>
      <c r="J38" s="7"/>
      <c r="K38" s="7"/>
      <c r="L38" s="7"/>
      <c r="M38" s="8"/>
      <c r="N38" s="20"/>
    </row>
    <row r="39" spans="2:51" ht="19.5" customHeight="1" x14ac:dyDescent="0.25">
      <c r="B39" s="19"/>
      <c r="C39" s="5" t="str">
        <f>"Fabricante: "&amp;AN4</f>
        <v>Fabricante: ITRON</v>
      </c>
      <c r="D39" s="7"/>
      <c r="E39" s="7"/>
      <c r="F39" s="7"/>
      <c r="G39" s="7"/>
      <c r="H39" s="8"/>
      <c r="I39" s="5" t="str">
        <f>"Alcance (Q3/Q1): "&amp;AS4</f>
        <v>Alcance (Q3/Q1): Clase B</v>
      </c>
      <c r="J39" s="7"/>
      <c r="K39" s="7"/>
      <c r="L39" s="7"/>
      <c r="M39" s="8"/>
      <c r="N39" s="20"/>
    </row>
    <row r="40" spans="2:51" ht="19.5" customHeight="1" x14ac:dyDescent="0.25">
      <c r="B40" s="19"/>
      <c r="C40" s="9" t="str">
        <f>"Procedencia: "&amp;AO4</f>
        <v>Procedencia: PERU</v>
      </c>
      <c r="D40" s="10"/>
      <c r="F40" s="10"/>
      <c r="G40" s="10"/>
      <c r="H40" s="11"/>
      <c r="I40" s="5" t="str">
        <f>"PMA (bar): "&amp;AT4&amp;"    TMA (°C):   "&amp;AU4</f>
        <v>PMA (bar): 10    TMA (°C):   30</v>
      </c>
      <c r="J40" s="7"/>
      <c r="K40" s="7"/>
      <c r="L40" s="7"/>
      <c r="M40" s="8"/>
      <c r="N40" s="20"/>
    </row>
    <row r="41" spans="2:51" ht="19.5" customHeight="1" x14ac:dyDescent="0.25">
      <c r="B41" s="19"/>
      <c r="C41" s="5" t="str">
        <f>"Estado del registro: el medidor registra, antes de la verificación, un volumen de  "&amp;AY4&amp;" m3"</f>
        <v>Estado del registro: el medidor registra, antes de la verificación, un volumen de  4652 m3</v>
      </c>
      <c r="D41" s="7"/>
      <c r="E41" s="7"/>
      <c r="F41" s="7"/>
      <c r="G41" s="7"/>
      <c r="H41" s="7"/>
      <c r="I41" s="15"/>
      <c r="J41" s="7"/>
      <c r="K41" s="7"/>
      <c r="L41" s="7"/>
      <c r="M41" s="8"/>
      <c r="N41" s="20"/>
    </row>
    <row r="42" spans="2:51" ht="19.5" customHeight="1" x14ac:dyDescent="0.25">
      <c r="B42" s="19"/>
      <c r="C42" s="5" t="s">
        <v>78</v>
      </c>
      <c r="D42" s="7"/>
      <c r="E42" s="7"/>
      <c r="F42" s="7"/>
      <c r="G42" s="7"/>
      <c r="H42" s="7"/>
      <c r="I42" s="15"/>
      <c r="J42" s="36" t="s">
        <v>87</v>
      </c>
      <c r="K42" s="36" t="s">
        <v>29</v>
      </c>
      <c r="L42" s="7"/>
      <c r="M42" s="8"/>
      <c r="N42" s="20"/>
    </row>
    <row r="43" spans="2:51" ht="8.25" customHeight="1" x14ac:dyDescent="0.25">
      <c r="B43" s="19"/>
      <c r="C43" s="32"/>
      <c r="D43" s="30"/>
      <c r="E43" s="30"/>
      <c r="F43" s="30"/>
      <c r="G43" s="30"/>
      <c r="H43" s="30"/>
      <c r="I43" s="32"/>
      <c r="J43" s="30"/>
      <c r="K43" s="30"/>
      <c r="L43" s="30"/>
      <c r="M43" s="30"/>
      <c r="N43" s="20"/>
    </row>
    <row r="44" spans="2:51" x14ac:dyDescent="0.25">
      <c r="B44" s="19"/>
      <c r="C44" s="31" t="s">
        <v>26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20"/>
    </row>
    <row r="45" spans="2:51" ht="7.5" customHeight="1" x14ac:dyDescent="0.25">
      <c r="B45" s="19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20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2:51" s="17" customFormat="1" ht="18.75" customHeight="1" x14ac:dyDescent="0.25">
      <c r="B46" s="37"/>
      <c r="C46" s="5" t="s">
        <v>27</v>
      </c>
      <c r="D46" s="15"/>
      <c r="E46" s="15"/>
      <c r="F46" s="15"/>
      <c r="G46" s="15"/>
      <c r="H46" s="15"/>
      <c r="I46" s="15" t="s">
        <v>85</v>
      </c>
      <c r="J46" s="15"/>
      <c r="K46" s="15" t="s">
        <v>29</v>
      </c>
      <c r="L46" s="16"/>
      <c r="M46" s="32"/>
      <c r="N46" s="38"/>
    </row>
    <row r="47" spans="2:51" s="17" customFormat="1" ht="18.75" customHeight="1" x14ac:dyDescent="0.25">
      <c r="B47" s="37"/>
      <c r="C47" s="5" t="s">
        <v>30</v>
      </c>
      <c r="D47" s="15"/>
      <c r="E47" s="15"/>
      <c r="F47" s="15"/>
      <c r="G47" s="15"/>
      <c r="H47" s="15"/>
      <c r="I47" s="15" t="s">
        <v>85</v>
      </c>
      <c r="J47" s="15"/>
      <c r="K47" s="15" t="s">
        <v>29</v>
      </c>
      <c r="L47" s="16"/>
      <c r="M47" s="32"/>
      <c r="N47" s="38"/>
    </row>
    <row r="48" spans="2:51" s="17" customFormat="1" ht="18.75" customHeight="1" x14ac:dyDescent="0.25">
      <c r="B48" s="37"/>
      <c r="C48" s="5" t="s">
        <v>31</v>
      </c>
      <c r="D48" s="15"/>
      <c r="E48" s="15"/>
      <c r="F48" s="15"/>
      <c r="G48" s="15"/>
      <c r="H48" s="15"/>
      <c r="I48" s="15" t="s">
        <v>28</v>
      </c>
      <c r="J48" s="15"/>
      <c r="K48" s="15" t="s">
        <v>86</v>
      </c>
      <c r="L48" s="16"/>
      <c r="M48" s="32"/>
      <c r="N48" s="3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2:29" ht="8.25" customHeight="1" x14ac:dyDescent="0.25">
      <c r="B49" s="19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20"/>
    </row>
    <row r="50" spans="2:29" x14ac:dyDescent="0.25">
      <c r="B50" s="19"/>
      <c r="C50" s="31" t="s">
        <v>32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20"/>
    </row>
    <row r="51" spans="2:29" ht="7.5" customHeight="1" x14ac:dyDescent="0.25">
      <c r="B51" s="1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20"/>
    </row>
    <row r="52" spans="2:29" ht="17.25" customHeight="1" x14ac:dyDescent="0.25">
      <c r="B52" s="19"/>
      <c r="C52" s="5" t="s">
        <v>33</v>
      </c>
      <c r="D52" s="15"/>
      <c r="E52" s="15"/>
      <c r="F52" s="15"/>
      <c r="G52" s="15"/>
      <c r="H52" s="15"/>
      <c r="I52" s="15" t="s">
        <v>85</v>
      </c>
      <c r="J52" s="15"/>
      <c r="K52" s="15" t="s">
        <v>29</v>
      </c>
      <c r="L52" s="16"/>
      <c r="M52" s="30"/>
      <c r="N52" s="20"/>
    </row>
    <row r="53" spans="2:29" ht="17.25" customHeight="1" x14ac:dyDescent="0.25">
      <c r="B53" s="19"/>
      <c r="C53" s="5" t="s">
        <v>34</v>
      </c>
      <c r="D53" s="15"/>
      <c r="E53" s="15"/>
      <c r="F53" s="15"/>
      <c r="G53" s="15"/>
      <c r="H53" s="15"/>
      <c r="I53" s="15" t="s">
        <v>85</v>
      </c>
      <c r="J53" s="15"/>
      <c r="K53" s="15" t="s">
        <v>29</v>
      </c>
      <c r="L53" s="16"/>
      <c r="M53" s="30"/>
      <c r="N53" s="20"/>
    </row>
    <row r="54" spans="2:29" ht="17.25" customHeight="1" x14ac:dyDescent="0.25">
      <c r="B54" s="19"/>
      <c r="C54" s="5" t="s">
        <v>35</v>
      </c>
      <c r="D54" s="15"/>
      <c r="E54" s="15"/>
      <c r="F54" s="15"/>
      <c r="G54" s="15"/>
      <c r="H54" s="15"/>
      <c r="I54" s="15" t="s">
        <v>28</v>
      </c>
      <c r="J54" s="15"/>
      <c r="K54" s="15" t="s">
        <v>86</v>
      </c>
      <c r="L54" s="16"/>
      <c r="M54" s="30"/>
      <c r="N54" s="20"/>
    </row>
    <row r="55" spans="2:29" ht="9" customHeight="1" x14ac:dyDescent="0.25">
      <c r="B55" s="19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20"/>
    </row>
    <row r="56" spans="2:29" x14ac:dyDescent="0.25">
      <c r="B56" s="19"/>
      <c r="C56" s="31" t="s">
        <v>36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20"/>
    </row>
    <row r="57" spans="2:29" ht="10.5" customHeight="1" x14ac:dyDescent="0.25">
      <c r="B57" s="19"/>
      <c r="C57" s="125"/>
      <c r="D57" s="126"/>
      <c r="E57" s="126"/>
      <c r="F57" s="126"/>
      <c r="G57" s="126"/>
      <c r="H57" s="126"/>
      <c r="I57" s="126"/>
      <c r="J57" s="126"/>
      <c r="K57" s="126"/>
      <c r="L57" s="126"/>
      <c r="M57" s="127"/>
      <c r="N57" s="20"/>
    </row>
    <row r="58" spans="2:29" ht="15" customHeight="1" x14ac:dyDescent="0.25">
      <c r="B58" s="19"/>
      <c r="C58" s="128"/>
      <c r="D58" s="129"/>
      <c r="E58" s="129"/>
      <c r="F58" s="129"/>
      <c r="G58" s="129"/>
      <c r="H58" s="129"/>
      <c r="I58" s="129"/>
      <c r="J58" s="129"/>
      <c r="K58" s="129"/>
      <c r="L58" s="129"/>
      <c r="M58" s="130"/>
      <c r="N58" s="2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</row>
    <row r="59" spans="2:29" ht="8.25" customHeight="1" x14ac:dyDescent="0.25">
      <c r="B59" s="19"/>
      <c r="C59" s="131"/>
      <c r="D59" s="132"/>
      <c r="E59" s="132"/>
      <c r="F59" s="132"/>
      <c r="G59" s="132"/>
      <c r="H59" s="132"/>
      <c r="I59" s="132"/>
      <c r="J59" s="132"/>
      <c r="K59" s="132"/>
      <c r="L59" s="132"/>
      <c r="M59" s="133"/>
      <c r="N59" s="2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</row>
    <row r="60" spans="2:29" ht="9.75" customHeight="1" x14ac:dyDescent="0.25">
      <c r="B60" s="1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2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</row>
    <row r="61" spans="2:29" x14ac:dyDescent="0.25">
      <c r="B61" s="19"/>
      <c r="C61" s="31" t="s">
        <v>37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20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</row>
    <row r="62" spans="2:29" ht="12.75" customHeight="1" x14ac:dyDescent="0.25">
      <c r="B62" s="19"/>
      <c r="C62" s="18" t="s">
        <v>38</v>
      </c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20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</row>
    <row r="63" spans="2:29" ht="22.5" customHeight="1" x14ac:dyDescent="0.25">
      <c r="B63" s="19"/>
      <c r="C63" s="121">
        <f>R4</f>
        <v>0</v>
      </c>
      <c r="D63" s="122"/>
      <c r="E63" s="122"/>
      <c r="F63" s="122"/>
      <c r="G63" s="30"/>
      <c r="H63" s="30"/>
      <c r="I63" s="30"/>
      <c r="J63" s="30"/>
      <c r="K63" s="30"/>
      <c r="L63" s="30"/>
      <c r="M63" s="20"/>
      <c r="N63" s="20"/>
      <c r="Q63" s="28"/>
      <c r="R63" s="28"/>
    </row>
    <row r="64" spans="2:29" ht="14.25" customHeight="1" x14ac:dyDescent="0.25">
      <c r="B64" s="19"/>
      <c r="C64" s="123"/>
      <c r="D64" s="124"/>
      <c r="E64" s="124"/>
      <c r="F64" s="124"/>
      <c r="G64" s="13"/>
      <c r="H64" s="13"/>
      <c r="I64" s="13"/>
      <c r="J64" s="13"/>
      <c r="K64" s="13"/>
      <c r="L64" s="13"/>
      <c r="M64" s="14"/>
      <c r="N64" s="20"/>
    </row>
    <row r="65" spans="2:16" ht="51.75" customHeight="1" x14ac:dyDescent="0.25">
      <c r="B65" s="1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20"/>
    </row>
    <row r="66" spans="2:16" x14ac:dyDescent="0.25">
      <c r="B66" s="19"/>
      <c r="C66" s="10" t="s">
        <v>39</v>
      </c>
      <c r="D66" s="10"/>
      <c r="E66" s="30"/>
      <c r="F66" s="10" t="s">
        <v>40</v>
      </c>
      <c r="G66" s="10"/>
      <c r="H66" s="10"/>
      <c r="I66" s="10"/>
      <c r="J66" s="30"/>
      <c r="K66" s="10" t="s">
        <v>41</v>
      </c>
      <c r="L66" s="10"/>
      <c r="M66" s="10"/>
      <c r="N66" s="20"/>
    </row>
    <row r="67" spans="2:16" x14ac:dyDescent="0.25">
      <c r="B67" s="19"/>
      <c r="C67" s="30" t="s">
        <v>88</v>
      </c>
      <c r="D67" s="30"/>
      <c r="E67" s="30"/>
      <c r="F67" s="30" t="s">
        <v>21</v>
      </c>
      <c r="G67" s="30"/>
      <c r="H67" s="30"/>
      <c r="I67" s="30"/>
      <c r="J67" s="30"/>
      <c r="K67" s="30" t="s">
        <v>21</v>
      </c>
      <c r="L67" s="30"/>
      <c r="M67" s="30"/>
      <c r="N67" s="20"/>
    </row>
    <row r="68" spans="2:16" x14ac:dyDescent="0.25">
      <c r="B68" s="19"/>
      <c r="C68" s="30" t="s">
        <v>89</v>
      </c>
      <c r="D68" s="30"/>
      <c r="E68" s="30"/>
      <c r="F68" s="30" t="s">
        <v>42</v>
      </c>
      <c r="G68" s="30"/>
      <c r="H68" s="30"/>
      <c r="I68" s="30"/>
      <c r="J68" s="30"/>
      <c r="K68" s="30" t="s">
        <v>42</v>
      </c>
      <c r="L68" s="30"/>
      <c r="M68" s="30"/>
      <c r="N68" s="20"/>
    </row>
    <row r="69" spans="2:16" ht="14.25" customHeight="1" x14ac:dyDescent="0.25">
      <c r="B69" s="1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20"/>
    </row>
    <row r="70" spans="2:16" ht="14.25" customHeight="1" x14ac:dyDescent="0.25">
      <c r="B70" s="39"/>
      <c r="C70" s="35" t="str">
        <f>"CUS:"&amp;AG4</f>
        <v>CUS:0</v>
      </c>
      <c r="D70" s="29"/>
      <c r="F70" s="29"/>
      <c r="G70" s="29"/>
      <c r="H70" s="29"/>
      <c r="I70" s="29"/>
      <c r="J70" s="29"/>
      <c r="K70" s="29"/>
      <c r="L70" s="29"/>
      <c r="M70" s="29"/>
      <c r="N70" s="40"/>
      <c r="O70" s="29"/>
      <c r="P70" s="29"/>
    </row>
    <row r="71" spans="2:16" ht="14.25" customHeight="1" x14ac:dyDescent="0.25">
      <c r="B71" s="39"/>
      <c r="C71" s="35" t="str">
        <f>"CUP:"&amp;AH4</f>
        <v>CUP:8006480080</v>
      </c>
      <c r="D71" s="29"/>
      <c r="E71" s="81" t="s">
        <v>104</v>
      </c>
      <c r="F71" s="29"/>
      <c r="G71" s="29"/>
      <c r="H71" s="29"/>
      <c r="I71" s="29"/>
      <c r="J71" s="29"/>
      <c r="K71" s="29"/>
      <c r="L71" s="29"/>
      <c r="M71" s="29"/>
      <c r="N71" s="40"/>
      <c r="O71" s="29"/>
      <c r="P71" s="29"/>
    </row>
    <row r="72" spans="2:16" x14ac:dyDescent="0.25">
      <c r="B72" s="21"/>
      <c r="C72" s="4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42" t="str">
        <f>K8</f>
        <v>74037</v>
      </c>
    </row>
  </sheetData>
  <mergeCells count="20">
    <mergeCell ref="C3:E6"/>
    <mergeCell ref="F3:J3"/>
    <mergeCell ref="L3:M3"/>
    <mergeCell ref="F4:J6"/>
    <mergeCell ref="L4:M4"/>
    <mergeCell ref="L5:M5"/>
    <mergeCell ref="L6:M6"/>
    <mergeCell ref="C63:F64"/>
    <mergeCell ref="C20:E20"/>
    <mergeCell ref="F20:J20"/>
    <mergeCell ref="K20:M20"/>
    <mergeCell ref="C32:D32"/>
    <mergeCell ref="C57:M59"/>
    <mergeCell ref="I8:J9"/>
    <mergeCell ref="K8:L9"/>
    <mergeCell ref="D11:E11"/>
    <mergeCell ref="H11:I11"/>
    <mergeCell ref="C18:E18"/>
    <mergeCell ref="F18:M18"/>
    <mergeCell ref="M8:M9"/>
  </mergeCells>
  <conditionalFormatting sqref="X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/>
  <pageMargins left="0" right="0" top="0" bottom="0" header="0" footer="0"/>
  <pageSetup paperSize="9" scale="1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5F2-A7E4-4545-BD23-669B632EB08A}">
  <sheetPr codeName="Hoja5">
    <tabColor rgb="FFFFC000"/>
    <pageSetUpPr fitToPage="1"/>
  </sheetPr>
  <dimension ref="B2:BF72"/>
  <sheetViews>
    <sheetView showGridLines="0" view="pageBreakPreview" zoomScale="70" zoomScaleNormal="100" zoomScaleSheetLayoutView="70" workbookViewId="0">
      <selection activeCell="R4" sqref="R4:BF4"/>
    </sheetView>
  </sheetViews>
  <sheetFormatPr baseColWidth="10" defaultColWidth="9.140625" defaultRowHeight="15" x14ac:dyDescent="0.25"/>
  <cols>
    <col min="1" max="1" width="4.85546875" customWidth="1"/>
    <col min="2" max="2" width="6.42578125" customWidth="1"/>
    <col min="3" max="3" width="10.28515625" customWidth="1"/>
    <col min="5" max="5" width="11.42578125" customWidth="1"/>
    <col min="7" max="7" width="6.7109375" customWidth="1"/>
    <col min="8" max="8" width="10.42578125" customWidth="1"/>
    <col min="11" max="11" width="10.7109375" customWidth="1"/>
    <col min="13" max="13" width="12.140625" customWidth="1"/>
    <col min="14" max="14" width="6.42578125" customWidth="1"/>
    <col min="17" max="17" width="16.42578125" bestFit="1" customWidth="1"/>
    <col min="18" max="18" width="13.28515625" customWidth="1"/>
    <col min="19" max="19" width="27.28515625" bestFit="1" customWidth="1"/>
    <col min="20" max="20" width="14.85546875" bestFit="1" customWidth="1"/>
    <col min="21" max="21" width="22.7109375" bestFit="1" customWidth="1"/>
    <col min="22" max="22" width="24.28515625" bestFit="1" customWidth="1"/>
    <col min="23" max="23" width="19.7109375" bestFit="1" customWidth="1"/>
    <col min="24" max="24" width="21.140625" bestFit="1" customWidth="1"/>
    <col min="25" max="25" width="21.42578125" customWidth="1"/>
    <col min="26" max="26" width="18.7109375" customWidth="1"/>
    <col min="27" max="27" width="26.42578125" customWidth="1"/>
    <col min="28" max="28" width="18.5703125" customWidth="1"/>
    <col min="29" max="29" width="28.28515625" customWidth="1"/>
    <col min="30" max="30" width="62.28515625" bestFit="1" customWidth="1"/>
    <col min="31" max="31" width="12.5703125" customWidth="1"/>
    <col min="32" max="32" width="16" bestFit="1" customWidth="1"/>
    <col min="33" max="33" width="12.42578125" bestFit="1" customWidth="1"/>
    <col min="34" max="34" width="12.42578125" customWidth="1"/>
    <col min="35" max="35" width="25" bestFit="1" customWidth="1"/>
    <col min="37" max="37" width="16.7109375" customWidth="1"/>
    <col min="38" max="38" width="18.5703125" customWidth="1"/>
    <col min="39" max="39" width="10.5703125" customWidth="1"/>
    <col min="47" max="47" width="18.28515625" customWidth="1"/>
    <col min="48" max="48" width="16.5703125" customWidth="1"/>
  </cols>
  <sheetData>
    <row r="2" spans="2:58" ht="15.75" thickBot="1" x14ac:dyDescent="0.3">
      <c r="B2" s="18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2:58" ht="15.75" thickBot="1" x14ac:dyDescent="0.3">
      <c r="B3" s="19"/>
      <c r="C3" s="83"/>
      <c r="D3" s="83"/>
      <c r="E3" s="83"/>
      <c r="F3" s="84" t="s">
        <v>0</v>
      </c>
      <c r="G3" s="84"/>
      <c r="H3" s="84"/>
      <c r="I3" s="84"/>
      <c r="J3" s="85"/>
      <c r="K3" s="1" t="s">
        <v>1</v>
      </c>
      <c r="L3" s="86" t="s">
        <v>2</v>
      </c>
      <c r="M3" s="87"/>
      <c r="N3" s="20"/>
      <c r="R3" s="26" t="s">
        <v>43</v>
      </c>
      <c r="S3" s="27" t="s">
        <v>45</v>
      </c>
      <c r="T3" s="27" t="s">
        <v>46</v>
      </c>
      <c r="U3" s="27" t="s">
        <v>47</v>
      </c>
      <c r="V3" s="27" t="s">
        <v>48</v>
      </c>
      <c r="W3" s="27" t="s">
        <v>49</v>
      </c>
      <c r="X3" s="27" t="s">
        <v>50</v>
      </c>
      <c r="Y3" s="27" t="s">
        <v>51</v>
      </c>
      <c r="Z3" s="27" t="s">
        <v>52</v>
      </c>
      <c r="AA3" s="27" t="s">
        <v>53</v>
      </c>
      <c r="AB3" s="27" t="s">
        <v>54</v>
      </c>
      <c r="AC3" s="27" t="s">
        <v>55</v>
      </c>
      <c r="AD3" s="27" t="s">
        <v>56</v>
      </c>
      <c r="AE3" s="27" t="s">
        <v>57</v>
      </c>
      <c r="AF3" s="27" t="s">
        <v>58</v>
      </c>
      <c r="AG3" s="27" t="s">
        <v>59</v>
      </c>
      <c r="AH3" s="27" t="s">
        <v>80</v>
      </c>
      <c r="AI3" s="27" t="s">
        <v>60</v>
      </c>
      <c r="AJ3" s="27" t="s">
        <v>61</v>
      </c>
      <c r="AK3" s="27" t="s">
        <v>62</v>
      </c>
      <c r="AL3" s="27" t="s">
        <v>63</v>
      </c>
      <c r="AM3" s="27" t="s">
        <v>64</v>
      </c>
      <c r="AN3" s="27" t="s">
        <v>65</v>
      </c>
      <c r="AO3" s="27" t="s">
        <v>66</v>
      </c>
      <c r="AP3" s="27" t="s">
        <v>67</v>
      </c>
      <c r="AQ3" s="27" t="s">
        <v>68</v>
      </c>
      <c r="AR3" s="27" t="s">
        <v>69</v>
      </c>
      <c r="AS3" s="27" t="s">
        <v>70</v>
      </c>
      <c r="AT3" s="27" t="s">
        <v>71</v>
      </c>
      <c r="AU3" s="27" t="s">
        <v>72</v>
      </c>
      <c r="AV3" s="27" t="s">
        <v>73</v>
      </c>
      <c r="AW3" s="27" t="s">
        <v>74</v>
      </c>
    </row>
    <row r="4" spans="2:58" ht="14.45" customHeight="1" x14ac:dyDescent="0.25">
      <c r="B4" s="19"/>
      <c r="C4" s="83"/>
      <c r="D4" s="83"/>
      <c r="E4" s="83"/>
      <c r="F4" s="88" t="s">
        <v>3</v>
      </c>
      <c r="G4" s="88"/>
      <c r="H4" s="88"/>
      <c r="I4" s="88"/>
      <c r="J4" s="89"/>
      <c r="K4" s="1" t="s">
        <v>4</v>
      </c>
      <c r="L4" s="94" t="s">
        <v>5</v>
      </c>
      <c r="M4" s="87"/>
      <c r="N4" s="20"/>
      <c r="R4" s="64"/>
      <c r="S4" s="44" t="s">
        <v>112</v>
      </c>
      <c r="T4" s="58">
        <v>45842</v>
      </c>
      <c r="U4" s="43">
        <v>1</v>
      </c>
      <c r="V4" s="66" t="s">
        <v>81</v>
      </c>
      <c r="W4" s="67">
        <v>45841</v>
      </c>
      <c r="X4" s="68">
        <v>8.3000000000000007</v>
      </c>
      <c r="Y4" s="67">
        <v>45842</v>
      </c>
      <c r="Z4" s="68">
        <v>15</v>
      </c>
      <c r="AA4" s="43" t="s">
        <v>77</v>
      </c>
      <c r="AB4" s="43" t="s">
        <v>14</v>
      </c>
      <c r="AC4" s="43" t="s">
        <v>101</v>
      </c>
      <c r="AD4" s="43" t="s">
        <v>81</v>
      </c>
      <c r="AE4" s="65" t="s">
        <v>105</v>
      </c>
      <c r="AF4" s="65" t="s">
        <v>106</v>
      </c>
      <c r="AG4" s="43" t="s">
        <v>81</v>
      </c>
      <c r="AH4" s="69" t="s">
        <v>81</v>
      </c>
      <c r="AI4" s="62">
        <v>9999999</v>
      </c>
      <c r="AJ4" s="43">
        <v>1210135810</v>
      </c>
      <c r="AK4" s="43" t="s">
        <v>107</v>
      </c>
      <c r="AL4" s="43" t="s">
        <v>113</v>
      </c>
      <c r="AM4" s="43">
        <v>2011</v>
      </c>
      <c r="AN4" s="43" t="s">
        <v>109</v>
      </c>
      <c r="AO4" s="43" t="s">
        <v>108</v>
      </c>
      <c r="AP4" s="43" t="s">
        <v>90</v>
      </c>
      <c r="AQ4" s="43">
        <v>20</v>
      </c>
      <c r="AR4" s="46">
        <v>2.5</v>
      </c>
      <c r="AS4" s="43" t="s">
        <v>110</v>
      </c>
      <c r="AT4" s="47">
        <v>16</v>
      </c>
      <c r="AU4" s="47">
        <v>30</v>
      </c>
      <c r="AV4" s="47" t="s">
        <v>82</v>
      </c>
      <c r="AW4" s="47" t="s">
        <v>111</v>
      </c>
      <c r="AX4" s="43" t="s">
        <v>114</v>
      </c>
      <c r="AY4" s="45">
        <v>215</v>
      </c>
      <c r="AZ4" s="45">
        <v>341</v>
      </c>
      <c r="BA4" s="45" t="s">
        <v>95</v>
      </c>
      <c r="BB4" s="45" t="s">
        <v>83</v>
      </c>
      <c r="BC4" s="45" t="s">
        <v>96</v>
      </c>
      <c r="BD4" s="55">
        <v>45842</v>
      </c>
      <c r="BE4" s="56">
        <v>17</v>
      </c>
      <c r="BF4" s="57" t="s">
        <v>84</v>
      </c>
    </row>
    <row r="5" spans="2:58" x14ac:dyDescent="0.25">
      <c r="B5" s="19"/>
      <c r="C5" s="83"/>
      <c r="D5" s="83"/>
      <c r="E5" s="83"/>
      <c r="F5" s="90"/>
      <c r="G5" s="90"/>
      <c r="H5" s="90"/>
      <c r="I5" s="90"/>
      <c r="J5" s="91"/>
      <c r="K5" s="2" t="s">
        <v>6</v>
      </c>
      <c r="L5" s="94" t="s">
        <v>7</v>
      </c>
      <c r="M5" s="87"/>
      <c r="N5" s="20"/>
      <c r="P5" s="22"/>
      <c r="T5" s="49"/>
    </row>
    <row r="6" spans="2:58" x14ac:dyDescent="0.25">
      <c r="B6" s="19"/>
      <c r="C6" s="83"/>
      <c r="D6" s="83"/>
      <c r="E6" s="83"/>
      <c r="F6" s="92"/>
      <c r="G6" s="92"/>
      <c r="H6" s="92"/>
      <c r="I6" s="92"/>
      <c r="J6" s="93"/>
      <c r="K6" s="1" t="s">
        <v>8</v>
      </c>
      <c r="L6" s="86" t="s">
        <v>9</v>
      </c>
      <c r="M6" s="87"/>
      <c r="N6" s="20"/>
      <c r="T6" s="49"/>
    </row>
    <row r="7" spans="2:58" ht="6.75" customHeight="1" x14ac:dyDescent="0.25">
      <c r="B7" s="1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20"/>
    </row>
    <row r="8" spans="2:58" ht="6.75" customHeight="1" x14ac:dyDescent="0.25">
      <c r="B8" s="19"/>
      <c r="C8" s="30"/>
      <c r="D8" s="30"/>
      <c r="E8" s="30"/>
      <c r="F8" s="30"/>
      <c r="G8" s="30"/>
      <c r="H8" s="30"/>
      <c r="I8" s="100" t="s">
        <v>10</v>
      </c>
      <c r="J8" s="100"/>
      <c r="K8" s="135" t="str">
        <f>MID(S4,4,255)&amp;"-2025-A"</f>
        <v>00040-2025-A</v>
      </c>
      <c r="L8" s="135"/>
      <c r="M8" s="134"/>
      <c r="N8" s="20"/>
    </row>
    <row r="9" spans="2:58" ht="13.5" customHeight="1" x14ac:dyDescent="0.25">
      <c r="B9" s="19"/>
      <c r="C9" s="30"/>
      <c r="D9" s="30"/>
      <c r="E9" s="30"/>
      <c r="F9" s="30"/>
      <c r="G9" s="30"/>
      <c r="H9" s="30"/>
      <c r="I9" s="100"/>
      <c r="J9" s="100"/>
      <c r="K9" s="135"/>
      <c r="L9" s="135"/>
      <c r="M9" s="134"/>
      <c r="N9" s="20"/>
    </row>
    <row r="10" spans="2:58" ht="8.25" customHeight="1" x14ac:dyDescent="0.25">
      <c r="B10" s="1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20"/>
    </row>
    <row r="11" spans="2:58" x14ac:dyDescent="0.25">
      <c r="B11" s="19"/>
      <c r="C11" s="30" t="s">
        <v>75</v>
      </c>
      <c r="D11" s="103">
        <f>X4</f>
        <v>8.3000000000000007</v>
      </c>
      <c r="E11" s="104"/>
      <c r="F11" s="30" t="s">
        <v>76</v>
      </c>
      <c r="G11" s="30"/>
      <c r="H11" s="105">
        <f>W4</f>
        <v>45841</v>
      </c>
      <c r="I11" s="105"/>
      <c r="J11" s="30" t="s">
        <v>44</v>
      </c>
      <c r="K11" s="30"/>
      <c r="L11" s="30"/>
      <c r="M11" s="30"/>
      <c r="N11" s="20"/>
    </row>
    <row r="12" spans="2:58" ht="2.25" customHeight="1" x14ac:dyDescent="0.25">
      <c r="B12" s="19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20"/>
    </row>
    <row r="13" spans="2:58" x14ac:dyDescent="0.25">
      <c r="B13" s="19"/>
      <c r="C13" s="30" t="s">
        <v>11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20"/>
    </row>
    <row r="14" spans="2:58" ht="3" customHeight="1" x14ac:dyDescent="0.25">
      <c r="B14" s="1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20"/>
    </row>
    <row r="15" spans="2:58" x14ac:dyDescent="0.25">
      <c r="B15" s="19"/>
      <c r="C15" s="30" t="s">
        <v>12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20"/>
    </row>
    <row r="16" spans="2:58" ht="7.5" customHeight="1" x14ac:dyDescent="0.25">
      <c r="B16" s="1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20"/>
    </row>
    <row r="17" spans="2:17" ht="4.5" customHeight="1" x14ac:dyDescent="0.25">
      <c r="B17" s="1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20"/>
    </row>
    <row r="18" spans="2:17" ht="18.75" customHeight="1" x14ac:dyDescent="0.25">
      <c r="B18" s="19"/>
      <c r="C18" s="95" t="s">
        <v>13</v>
      </c>
      <c r="D18" s="96"/>
      <c r="E18" s="96"/>
      <c r="F18" s="96" t="str">
        <f>+AB4</f>
        <v>EPS SEDAPAL</v>
      </c>
      <c r="G18" s="96"/>
      <c r="H18" s="96"/>
      <c r="I18" s="96"/>
      <c r="J18" s="96"/>
      <c r="K18" s="96"/>
      <c r="L18" s="96"/>
      <c r="M18" s="106"/>
      <c r="N18" s="20"/>
    </row>
    <row r="19" spans="2:17" ht="6.75" customHeight="1" x14ac:dyDescent="0.25">
      <c r="B19" s="1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20"/>
    </row>
    <row r="20" spans="2:17" ht="19.5" customHeight="1" x14ac:dyDescent="0.25">
      <c r="B20" s="19"/>
      <c r="C20" s="95" t="s">
        <v>15</v>
      </c>
      <c r="D20" s="96"/>
      <c r="E20" s="96"/>
      <c r="F20" s="96" t="str">
        <f>+AC4</f>
        <v>Equipo Comercial Ate</v>
      </c>
      <c r="G20" s="96"/>
      <c r="H20" s="96"/>
      <c r="I20" s="96"/>
      <c r="J20" s="96"/>
      <c r="K20" s="97"/>
      <c r="L20" s="97"/>
      <c r="M20" s="98"/>
      <c r="N20" s="20"/>
    </row>
    <row r="21" spans="2:17" ht="10.5" customHeight="1" x14ac:dyDescent="0.25">
      <c r="B21" s="19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20"/>
      <c r="Q21" s="34"/>
    </row>
    <row r="22" spans="2:17" x14ac:dyDescent="0.25">
      <c r="B22" s="19"/>
      <c r="C22" s="31" t="s">
        <v>16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20"/>
    </row>
    <row r="23" spans="2:17" ht="9" customHeight="1" x14ac:dyDescent="0.25">
      <c r="B23" s="19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20"/>
    </row>
    <row r="24" spans="2:17" ht="19.5" customHeight="1" x14ac:dyDescent="0.25">
      <c r="B24" s="19"/>
      <c r="C24" s="3" t="s">
        <v>17</v>
      </c>
      <c r="D24" s="32" t="s">
        <v>18</v>
      </c>
      <c r="E24" s="32"/>
      <c r="F24" s="32"/>
      <c r="G24" s="32"/>
      <c r="H24" s="4"/>
      <c r="I24" s="32" t="s">
        <v>19</v>
      </c>
      <c r="J24" s="30"/>
      <c r="K24" s="30"/>
      <c r="L24" s="30"/>
      <c r="M24" s="30"/>
      <c r="N24" s="20"/>
    </row>
    <row r="25" spans="2:17" ht="8.25" customHeight="1" x14ac:dyDescent="0.25">
      <c r="B25" s="19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20"/>
    </row>
    <row r="26" spans="2:17" x14ac:dyDescent="0.25">
      <c r="B26" s="19"/>
      <c r="C26" s="31" t="s">
        <v>20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20"/>
    </row>
    <row r="27" spans="2:17" ht="10.5" customHeight="1" x14ac:dyDescent="0.25">
      <c r="B27" s="19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20"/>
    </row>
    <row r="28" spans="2:17" ht="18.75" customHeight="1" x14ac:dyDescent="0.25">
      <c r="B28" s="19"/>
      <c r="C28" s="5" t="s">
        <v>21</v>
      </c>
      <c r="D28" s="23" t="str">
        <f>+AE4</f>
        <v xml:space="preserve">GINO GHIGGO </v>
      </c>
      <c r="E28" s="6"/>
      <c r="F28" s="7"/>
      <c r="G28" s="7"/>
      <c r="H28" s="7"/>
      <c r="I28" s="7"/>
      <c r="J28" s="7"/>
      <c r="K28" s="7"/>
      <c r="L28" s="7"/>
      <c r="M28" s="8"/>
      <c r="N28" s="20"/>
    </row>
    <row r="29" spans="2:17" ht="4.5" customHeight="1" x14ac:dyDescent="0.25">
      <c r="B29" s="19"/>
      <c r="C29" s="32"/>
      <c r="D29" s="32"/>
      <c r="E29" s="33"/>
      <c r="F29" s="30"/>
      <c r="G29" s="30"/>
      <c r="H29" s="30"/>
      <c r="I29" s="30"/>
      <c r="J29" s="30"/>
      <c r="K29" s="30"/>
      <c r="L29" s="30"/>
      <c r="M29" s="30"/>
      <c r="N29" s="20"/>
    </row>
    <row r="30" spans="2:17" ht="21" customHeight="1" x14ac:dyDescent="0.25">
      <c r="B30" s="19"/>
      <c r="C30" s="5" t="s">
        <v>22</v>
      </c>
      <c r="D30" s="24" t="str">
        <f>+AF4</f>
        <v>LOS SAUCES 271 SAN BORJA LIMA</v>
      </c>
      <c r="E30" s="6"/>
      <c r="F30" s="7"/>
      <c r="G30" s="7"/>
      <c r="H30" s="7"/>
      <c r="I30" s="7"/>
      <c r="J30" s="7"/>
      <c r="K30" s="7"/>
      <c r="L30" s="7"/>
      <c r="M30" s="8"/>
      <c r="N30" s="20"/>
    </row>
    <row r="31" spans="2:17" ht="5.25" customHeight="1" x14ac:dyDescent="0.25">
      <c r="B31" s="19"/>
      <c r="C31" s="32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20"/>
    </row>
    <row r="32" spans="2:17" ht="21" customHeight="1" x14ac:dyDescent="0.25">
      <c r="B32" s="19"/>
      <c r="C32" s="95" t="s">
        <v>23</v>
      </c>
      <c r="D32" s="96"/>
      <c r="E32" s="25">
        <f>+AI4</f>
        <v>9999999</v>
      </c>
      <c r="F32" s="7"/>
      <c r="G32" s="7"/>
      <c r="H32" s="7"/>
      <c r="I32" s="7"/>
      <c r="J32" s="7"/>
      <c r="K32" s="7"/>
      <c r="L32" s="7"/>
      <c r="M32" s="8"/>
      <c r="N32" s="20"/>
    </row>
    <row r="33" spans="2:51" x14ac:dyDescent="0.25">
      <c r="B33" s="19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20"/>
    </row>
    <row r="34" spans="2:51" x14ac:dyDescent="0.25">
      <c r="B34" s="19"/>
      <c r="C34" s="31" t="s">
        <v>24</v>
      </c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20"/>
    </row>
    <row r="35" spans="2:51" ht="11.25" customHeight="1" x14ac:dyDescent="0.25">
      <c r="B35" s="19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20"/>
    </row>
    <row r="36" spans="2:51" ht="19.5" customHeight="1" x14ac:dyDescent="0.25">
      <c r="B36" s="19"/>
      <c r="C36" s="9" t="str">
        <f>"N° de serie  de medidor: "&amp;AJ4</f>
        <v>N° de serie  de medidor: 1210135810</v>
      </c>
      <c r="D36" s="10"/>
      <c r="E36" s="10"/>
      <c r="F36" s="10"/>
      <c r="G36" s="10"/>
      <c r="H36" s="11"/>
      <c r="I36" s="5" t="str">
        <f>"Tipo: "&amp;AP4</f>
        <v>Tipo: MÚLTIPLE</v>
      </c>
      <c r="J36" s="7"/>
      <c r="K36" s="7"/>
      <c r="L36" s="7"/>
      <c r="M36" s="8"/>
      <c r="N36" s="20"/>
    </row>
    <row r="37" spans="2:51" ht="19.5" customHeight="1" x14ac:dyDescent="0.25">
      <c r="B37" s="19"/>
      <c r="C37" s="5" t="str">
        <f>"Marca del medidor:  "&amp;AK4</f>
        <v>Marca del medidor:  DH</v>
      </c>
      <c r="D37" s="7"/>
      <c r="E37" s="7"/>
      <c r="F37" s="7"/>
      <c r="G37" s="7"/>
      <c r="H37" s="8"/>
      <c r="I37" s="5" t="str">
        <f>"Diámetro nominal (mm): "&amp;AQ4</f>
        <v>Diámetro nominal (mm): 20</v>
      </c>
      <c r="J37" s="7"/>
      <c r="K37" s="7"/>
      <c r="L37" s="7"/>
      <c r="M37" s="8"/>
      <c r="N37" s="20"/>
    </row>
    <row r="38" spans="2:51" ht="19.5" customHeight="1" x14ac:dyDescent="0.25">
      <c r="B38" s="19"/>
      <c r="C38" s="12" t="str">
        <f>"Modelo de medidor: "&amp;AL4&amp;"   Año fabricación: "&amp;AM4</f>
        <v>Modelo de medidor: LXSG-20E/5   Año fabricación: 2011</v>
      </c>
      <c r="D38" s="13"/>
      <c r="E38" s="13"/>
      <c r="F38" s="13"/>
      <c r="G38" s="13"/>
      <c r="H38" s="14"/>
      <c r="I38" s="5" t="str">
        <f>"Q3 (m3/h): "&amp;AR4</f>
        <v>Q3 (m3/h): 2.5</v>
      </c>
      <c r="J38" s="7"/>
      <c r="K38" s="7"/>
      <c r="L38" s="7"/>
      <c r="M38" s="8"/>
      <c r="N38" s="20"/>
    </row>
    <row r="39" spans="2:51" ht="19.5" customHeight="1" x14ac:dyDescent="0.25">
      <c r="B39" s="19"/>
      <c r="C39" s="5" t="str">
        <f>"Fabricante: "&amp;AN4</f>
        <v>Fabricante: NINGBO DONGHAI GROUP CORPORATION, INC.</v>
      </c>
      <c r="D39" s="7"/>
      <c r="E39" s="7"/>
      <c r="F39" s="7"/>
      <c r="G39" s="7"/>
      <c r="H39" s="8"/>
      <c r="I39" s="5" t="str">
        <f>"Alcance (Q3/Q1): "&amp;AS4</f>
        <v>Alcance (Q3/Q1): Clase B</v>
      </c>
      <c r="J39" s="7"/>
      <c r="K39" s="7"/>
      <c r="L39" s="7"/>
      <c r="M39" s="8"/>
      <c r="N39" s="20"/>
    </row>
    <row r="40" spans="2:51" ht="19.5" customHeight="1" x14ac:dyDescent="0.25">
      <c r="B40" s="19"/>
      <c r="C40" s="9" t="str">
        <f>"Procedencia: "&amp;AO4</f>
        <v>Procedencia: CHINA</v>
      </c>
      <c r="D40" s="10"/>
      <c r="F40" s="10"/>
      <c r="G40" s="10"/>
      <c r="H40" s="11"/>
      <c r="I40" s="5" t="str">
        <f>"PMA (bar): "&amp;AT4&amp;"    TMA (°C):   "&amp;AU4</f>
        <v>PMA (bar): 16    TMA (°C):   30</v>
      </c>
      <c r="J40" s="7"/>
      <c r="K40" s="7"/>
      <c r="L40" s="7"/>
      <c r="M40" s="8"/>
      <c r="N40" s="20"/>
    </row>
    <row r="41" spans="2:51" ht="19.5" customHeight="1" x14ac:dyDescent="0.25">
      <c r="B41" s="19"/>
      <c r="C41" s="5" t="s">
        <v>25</v>
      </c>
      <c r="D41" s="7"/>
      <c r="E41" s="7"/>
      <c r="F41" s="7"/>
      <c r="G41" s="7"/>
      <c r="H41" s="7"/>
      <c r="I41" s="15"/>
      <c r="J41" s="7"/>
      <c r="K41" s="7"/>
      <c r="L41" s="7"/>
      <c r="M41" s="8"/>
      <c r="N41" s="20"/>
    </row>
    <row r="42" spans="2:51" ht="19.5" customHeight="1" x14ac:dyDescent="0.25">
      <c r="B42" s="19"/>
      <c r="C42" s="5" t="s">
        <v>78</v>
      </c>
      <c r="D42" s="7"/>
      <c r="E42" s="7"/>
      <c r="F42" s="7"/>
      <c r="G42" s="7"/>
      <c r="H42" s="7"/>
      <c r="I42" s="15"/>
      <c r="J42" s="36" t="s">
        <v>79</v>
      </c>
      <c r="K42" s="36" t="s">
        <v>29</v>
      </c>
      <c r="L42" s="7"/>
      <c r="M42" s="8"/>
      <c r="N42" s="20"/>
    </row>
    <row r="43" spans="2:51" ht="8.25" customHeight="1" x14ac:dyDescent="0.25">
      <c r="B43" s="19"/>
      <c r="C43" s="32"/>
      <c r="D43" s="30"/>
      <c r="E43" s="30"/>
      <c r="F43" s="30"/>
      <c r="G43" s="30"/>
      <c r="H43" s="30"/>
      <c r="I43" s="32"/>
      <c r="J43" s="30"/>
      <c r="K43" s="30"/>
      <c r="L43" s="30"/>
      <c r="M43" s="30"/>
      <c r="N43" s="20"/>
    </row>
    <row r="44" spans="2:51" x14ac:dyDescent="0.25">
      <c r="B44" s="19"/>
      <c r="C44" s="31" t="s">
        <v>26</v>
      </c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20"/>
    </row>
    <row r="45" spans="2:51" ht="7.5" customHeight="1" x14ac:dyDescent="0.25">
      <c r="B45" s="19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20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2:51" s="17" customFormat="1" ht="18.75" customHeight="1" x14ac:dyDescent="0.25">
      <c r="B46" s="37"/>
      <c r="C46" s="5" t="s">
        <v>27</v>
      </c>
      <c r="D46" s="15"/>
      <c r="E46" s="15"/>
      <c r="F46" s="15"/>
      <c r="G46" s="15"/>
      <c r="H46" s="15"/>
      <c r="I46" s="15" t="s">
        <v>28</v>
      </c>
      <c r="J46" s="15"/>
      <c r="K46" s="15" t="s">
        <v>29</v>
      </c>
      <c r="L46" s="16"/>
      <c r="M46" s="32"/>
      <c r="N46" s="38"/>
    </row>
    <row r="47" spans="2:51" s="17" customFormat="1" ht="18.75" customHeight="1" x14ac:dyDescent="0.25">
      <c r="B47" s="37"/>
      <c r="C47" s="5" t="s">
        <v>30</v>
      </c>
      <c r="D47" s="15"/>
      <c r="E47" s="15"/>
      <c r="F47" s="15"/>
      <c r="G47" s="15"/>
      <c r="H47" s="15"/>
      <c r="I47" s="15" t="s">
        <v>28</v>
      </c>
      <c r="J47" s="15"/>
      <c r="K47" s="15" t="s">
        <v>29</v>
      </c>
      <c r="L47" s="16"/>
      <c r="M47" s="32"/>
      <c r="N47" s="38"/>
    </row>
    <row r="48" spans="2:51" s="17" customFormat="1" ht="18.75" customHeight="1" x14ac:dyDescent="0.25">
      <c r="B48" s="37"/>
      <c r="C48" s="5" t="s">
        <v>31</v>
      </c>
      <c r="D48" s="15"/>
      <c r="E48" s="15"/>
      <c r="F48" s="15"/>
      <c r="G48" s="15"/>
      <c r="H48" s="15"/>
      <c r="I48" s="15" t="s">
        <v>28</v>
      </c>
      <c r="J48" s="15"/>
      <c r="K48" s="15" t="s">
        <v>29</v>
      </c>
      <c r="L48" s="16"/>
      <c r="M48" s="32"/>
      <c r="N48" s="3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2:29" ht="8.25" customHeight="1" x14ac:dyDescent="0.25">
      <c r="B49" s="19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20"/>
    </row>
    <row r="50" spans="2:29" x14ac:dyDescent="0.25">
      <c r="B50" s="19"/>
      <c r="C50" s="31" t="s">
        <v>32</v>
      </c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20"/>
    </row>
    <row r="51" spans="2:29" ht="7.5" customHeight="1" x14ac:dyDescent="0.25">
      <c r="B51" s="1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20"/>
    </row>
    <row r="52" spans="2:29" ht="17.25" customHeight="1" x14ac:dyDescent="0.25">
      <c r="B52" s="19"/>
      <c r="C52" s="5" t="s">
        <v>33</v>
      </c>
      <c r="D52" s="15"/>
      <c r="E52" s="15"/>
      <c r="F52" s="15"/>
      <c r="G52" s="15"/>
      <c r="H52" s="15"/>
      <c r="I52" s="15" t="s">
        <v>28</v>
      </c>
      <c r="J52" s="15"/>
      <c r="K52" s="15" t="s">
        <v>29</v>
      </c>
      <c r="L52" s="16"/>
      <c r="M52" s="30"/>
      <c r="N52" s="20"/>
    </row>
    <row r="53" spans="2:29" ht="17.25" customHeight="1" x14ac:dyDescent="0.25">
      <c r="B53" s="19"/>
      <c r="C53" s="5" t="s">
        <v>34</v>
      </c>
      <c r="D53" s="15"/>
      <c r="E53" s="15"/>
      <c r="F53" s="15"/>
      <c r="G53" s="15"/>
      <c r="H53" s="15"/>
      <c r="I53" s="15" t="s">
        <v>28</v>
      </c>
      <c r="J53" s="15"/>
      <c r="K53" s="15" t="s">
        <v>29</v>
      </c>
      <c r="L53" s="16"/>
      <c r="M53" s="30"/>
      <c r="N53" s="20"/>
    </row>
    <row r="54" spans="2:29" ht="17.25" customHeight="1" x14ac:dyDescent="0.25">
      <c r="B54" s="19"/>
      <c r="C54" s="5" t="s">
        <v>35</v>
      </c>
      <c r="D54" s="15"/>
      <c r="E54" s="15"/>
      <c r="F54" s="15"/>
      <c r="G54" s="15"/>
      <c r="H54" s="15"/>
      <c r="I54" s="15" t="s">
        <v>28</v>
      </c>
      <c r="J54" s="15"/>
      <c r="K54" s="15" t="s">
        <v>29</v>
      </c>
      <c r="L54" s="16"/>
      <c r="M54" s="30"/>
      <c r="N54" s="20"/>
    </row>
    <row r="55" spans="2:29" ht="9" customHeight="1" x14ac:dyDescent="0.25">
      <c r="B55" s="19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20"/>
    </row>
    <row r="56" spans="2:29" x14ac:dyDescent="0.25">
      <c r="B56" s="19"/>
      <c r="C56" s="31" t="s">
        <v>36</v>
      </c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20"/>
    </row>
    <row r="57" spans="2:29" ht="10.5" customHeight="1" x14ac:dyDescent="0.25">
      <c r="B57" s="19"/>
      <c r="C57" s="18"/>
      <c r="D57" s="10"/>
      <c r="E57" s="10"/>
      <c r="F57" s="10"/>
      <c r="G57" s="10"/>
      <c r="H57" s="10"/>
      <c r="I57" s="10"/>
      <c r="J57" s="10"/>
      <c r="K57" s="10"/>
      <c r="L57" s="10"/>
      <c r="M57" s="11"/>
      <c r="N57" s="20"/>
    </row>
    <row r="58" spans="2:29" x14ac:dyDescent="0.25">
      <c r="B58" s="19"/>
      <c r="C58" s="19"/>
      <c r="D58" s="30"/>
      <c r="E58" s="30"/>
      <c r="F58" s="30"/>
      <c r="G58" s="30"/>
      <c r="H58" s="30"/>
      <c r="I58" s="30"/>
      <c r="J58" s="30"/>
      <c r="K58" s="30"/>
      <c r="L58" s="30"/>
      <c r="M58" s="20"/>
      <c r="N58" s="20"/>
    </row>
    <row r="59" spans="2:29" ht="8.25" customHeight="1" x14ac:dyDescent="0.25">
      <c r="B59" s="19"/>
      <c r="C59" s="21"/>
      <c r="D59" s="13"/>
      <c r="E59" s="13"/>
      <c r="F59" s="13"/>
      <c r="G59" s="13"/>
      <c r="H59" s="13"/>
      <c r="I59" s="13"/>
      <c r="J59" s="13"/>
      <c r="K59" s="13"/>
      <c r="L59" s="13"/>
      <c r="M59" s="14"/>
      <c r="N59" s="20"/>
    </row>
    <row r="60" spans="2:29" ht="9.75" customHeight="1" x14ac:dyDescent="0.25">
      <c r="B60" s="1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20"/>
    </row>
    <row r="61" spans="2:29" x14ac:dyDescent="0.25">
      <c r="B61" s="19"/>
      <c r="C61" s="31" t="s">
        <v>37</v>
      </c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20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</row>
    <row r="62" spans="2:29" ht="12.75" customHeight="1" x14ac:dyDescent="0.25">
      <c r="B62" s="19"/>
      <c r="C62" s="18" t="s">
        <v>38</v>
      </c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20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</row>
    <row r="63" spans="2:29" ht="22.5" customHeight="1" x14ac:dyDescent="0.25">
      <c r="B63" s="19"/>
      <c r="C63" s="19"/>
      <c r="D63" s="30"/>
      <c r="E63" s="30"/>
      <c r="F63" s="30"/>
      <c r="G63" s="30"/>
      <c r="H63" s="30"/>
      <c r="I63" s="30"/>
      <c r="J63" s="30"/>
      <c r="K63" s="30"/>
      <c r="L63" s="30"/>
      <c r="M63" s="20"/>
      <c r="N63" s="20"/>
      <c r="Q63" s="28"/>
      <c r="R63" s="28"/>
    </row>
    <row r="64" spans="2:29" ht="14.25" customHeight="1" x14ac:dyDescent="0.25">
      <c r="B64" s="19"/>
      <c r="C64" s="21"/>
      <c r="D64" s="13"/>
      <c r="E64" s="13"/>
      <c r="F64" s="13"/>
      <c r="G64" s="13"/>
      <c r="H64" s="13"/>
      <c r="I64" s="13"/>
      <c r="J64" s="13"/>
      <c r="K64" s="13"/>
      <c r="L64" s="13"/>
      <c r="M64" s="14"/>
      <c r="N64" s="20"/>
    </row>
    <row r="65" spans="2:16" ht="51.75" customHeight="1" x14ac:dyDescent="0.25">
      <c r="B65" s="19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20"/>
    </row>
    <row r="66" spans="2:16" x14ac:dyDescent="0.25">
      <c r="B66" s="19"/>
      <c r="C66" s="10" t="s">
        <v>39</v>
      </c>
      <c r="D66" s="10"/>
      <c r="E66" s="30"/>
      <c r="F66" s="10" t="s">
        <v>40</v>
      </c>
      <c r="G66" s="10"/>
      <c r="H66" s="10"/>
      <c r="I66" s="10"/>
      <c r="J66" s="30"/>
      <c r="K66" s="10" t="s">
        <v>41</v>
      </c>
      <c r="L66" s="10"/>
      <c r="M66" s="10"/>
      <c r="N66" s="20"/>
    </row>
    <row r="67" spans="2:16" x14ac:dyDescent="0.25">
      <c r="B67" s="19"/>
      <c r="C67" s="30" t="s">
        <v>21</v>
      </c>
      <c r="D67" s="30"/>
      <c r="E67" s="30"/>
      <c r="F67" s="30" t="s">
        <v>21</v>
      </c>
      <c r="G67" s="30"/>
      <c r="H67" s="30"/>
      <c r="I67" s="30"/>
      <c r="J67" s="30"/>
      <c r="K67" s="30" t="s">
        <v>21</v>
      </c>
      <c r="L67" s="30"/>
      <c r="M67" s="30"/>
      <c r="N67" s="20"/>
    </row>
    <row r="68" spans="2:16" x14ac:dyDescent="0.25">
      <c r="B68" s="19"/>
      <c r="C68" s="30" t="s">
        <v>42</v>
      </c>
      <c r="D68" s="30"/>
      <c r="E68" s="30"/>
      <c r="F68" s="30" t="s">
        <v>42</v>
      </c>
      <c r="G68" s="30"/>
      <c r="H68" s="30"/>
      <c r="I68" s="30"/>
      <c r="J68" s="30"/>
      <c r="K68" s="30" t="s">
        <v>42</v>
      </c>
      <c r="L68" s="30"/>
      <c r="M68" s="30"/>
      <c r="N68" s="20"/>
    </row>
    <row r="69" spans="2:16" ht="14.25" customHeight="1" x14ac:dyDescent="0.25">
      <c r="B69" s="19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20"/>
    </row>
    <row r="70" spans="2:16" ht="14.25" customHeight="1" x14ac:dyDescent="0.25">
      <c r="B70" s="39"/>
      <c r="C70" s="35"/>
      <c r="D70" s="29"/>
      <c r="L70" s="29"/>
      <c r="M70" s="29"/>
      <c r="N70" s="40"/>
      <c r="O70" s="29"/>
      <c r="P70" s="29"/>
    </row>
    <row r="71" spans="2:16" ht="14.25" customHeight="1" x14ac:dyDescent="0.25">
      <c r="B71" s="39"/>
      <c r="C71" s="35"/>
      <c r="D71" s="29"/>
      <c r="E71" s="80" t="s">
        <v>104</v>
      </c>
      <c r="F71" s="29"/>
      <c r="G71" s="29"/>
      <c r="H71" s="29"/>
      <c r="I71" s="29"/>
      <c r="J71" s="29"/>
      <c r="K71" s="29"/>
      <c r="L71" s="28"/>
      <c r="M71" s="28"/>
      <c r="N71" s="63"/>
      <c r="O71" s="29"/>
      <c r="P71" s="29"/>
    </row>
    <row r="72" spans="2:16" x14ac:dyDescent="0.25">
      <c r="B72" s="21"/>
      <c r="C72" s="4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42"/>
    </row>
  </sheetData>
  <protectedRanges>
    <protectedRange algorithmName="SHA-512" hashValue="A80YXKDWlhcdYQ/P2aYcoX3USyfl83MCg+iInzEB16yr+KEPvqwOlvogLqzAwrcQObx/qR5HDo2dIsXz+222AA==" saltValue="lkC9BidwrGzDJzAVJefzeg==" spinCount="100000" sqref="AA4" name="Milagros_1_4"/>
  </protectedRanges>
  <mergeCells count="18">
    <mergeCell ref="C3:E6"/>
    <mergeCell ref="F3:J3"/>
    <mergeCell ref="L3:M3"/>
    <mergeCell ref="F4:J6"/>
    <mergeCell ref="L4:M4"/>
    <mergeCell ref="L5:M5"/>
    <mergeCell ref="L6:M6"/>
    <mergeCell ref="C20:E20"/>
    <mergeCell ref="F20:J20"/>
    <mergeCell ref="K20:M20"/>
    <mergeCell ref="C32:D32"/>
    <mergeCell ref="I8:J9"/>
    <mergeCell ref="D11:E11"/>
    <mergeCell ref="H11:I11"/>
    <mergeCell ref="C18:E18"/>
    <mergeCell ref="F18:M18"/>
    <mergeCell ref="M8:M9"/>
    <mergeCell ref="K8:L9"/>
  </mergeCells>
  <conditionalFormatting sqref="X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/>
  <pageMargins left="0" right="0" top="0" bottom="0" header="0" footer="0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9ACF8-D9B9-4982-A1BF-39D0C6533BC5}">
  <sheetPr codeName="Hoja4"/>
  <dimension ref="A1:D1"/>
  <sheetViews>
    <sheetView workbookViewId="0">
      <selection activeCell="A2" sqref="A2"/>
    </sheetView>
  </sheetViews>
  <sheetFormatPr baseColWidth="10" defaultRowHeight="15" x14ac:dyDescent="0.25"/>
  <cols>
    <col min="1" max="1" width="11.140625" bestFit="1" customWidth="1"/>
    <col min="2" max="2" width="12.28515625" bestFit="1" customWidth="1"/>
    <col min="3" max="3" width="7.42578125" bestFit="1" customWidth="1"/>
    <col min="4" max="4" width="11.28515625" bestFit="1" customWidth="1"/>
  </cols>
  <sheetData>
    <row r="1" spans="1:4" x14ac:dyDescent="0.25">
      <c r="A1" s="82" t="s">
        <v>138</v>
      </c>
      <c r="B1" s="82" t="s">
        <v>139</v>
      </c>
      <c r="C1" s="82" t="s">
        <v>140</v>
      </c>
      <c r="D1" s="82" t="s">
        <v>141</v>
      </c>
    </row>
  </sheetData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DATA</vt:lpstr>
      <vt:lpstr>FormBlanco</vt:lpstr>
      <vt:lpstr>FormImposibilidad</vt:lpstr>
      <vt:lpstr>FormLlenado</vt:lpstr>
      <vt:lpstr>FormAuditoria</vt:lpstr>
      <vt:lpstr>LOG_ERRORES</vt:lpstr>
      <vt:lpstr>FormAuditoria!Área_de_impresión</vt:lpstr>
      <vt:lpstr>FormBlanco!Área_de_impresión</vt:lpstr>
      <vt:lpstr>FormImposibilidad!Área_de_impresión</vt:lpstr>
      <vt:lpstr>FormLlenado!Área_de_impresión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CRISTOPHER GUTIERREZ</dc:creator>
  <cp:lastModifiedBy>Cristopher Gutierrez Chuquiyuri</cp:lastModifiedBy>
  <cp:lastPrinted>2025-11-27T20:02:54Z</cp:lastPrinted>
  <dcterms:created xsi:type="dcterms:W3CDTF">2019-10-09T18:03:44Z</dcterms:created>
  <dcterms:modified xsi:type="dcterms:W3CDTF">2025-11-27T20:18:39Z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2024-01-30T21:22:55Z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47159b5e-7a2d-4be6-8b3c-557c0ad5fd30</vt:lpwstr>
  </property>
  <property fmtid="{D5CDD505-2E9C-101B-9397-08002B2CF9AE}" pid="7" name="MSIP_Label_defa4170-0d19-0005-0004-bc88714345d2_ActionId">
    <vt:lpwstr>97c91155-45bb-455b-9f33-0c52ff2a0bb5</vt:lpwstr>
  </property>
  <property fmtid="{D5CDD505-2E9C-101B-9397-08002B2CF9AE}" pid="8" name="MSIP_Label_defa4170-0d19-0005-0004-bc88714345d2_ContentBits">
    <vt:lpwstr>0</vt:lpwstr>
  </property>
</Properties>
</file>